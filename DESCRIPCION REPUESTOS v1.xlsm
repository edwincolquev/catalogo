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centromovilbolivia-my.sharepoint.com/personal/edwin_colque_centromovil_com_bo/Documents/Archivos de chat de Microsoft Teams/"/>
    </mc:Choice>
  </mc:AlternateContent>
  <xr:revisionPtr revIDLastSave="775" documentId="8_{7E56D5E2-A910-42EA-A061-9027983F33DB}" xr6:coauthVersionLast="47" xr6:coauthVersionMax="47" xr10:uidLastSave="{24BD0C1C-96B5-4C28-AF73-DA27C2BF5520}"/>
  <bookViews>
    <workbookView xWindow="-120" yWindow="-120" windowWidth="20640" windowHeight="11160" activeTab="1" xr2:uid="{31F58E13-1096-4ED4-AF54-4A3E4842A132}"/>
  </bookViews>
  <sheets>
    <sheet name="Resumen" sheetId="2" r:id="rId1"/>
    <sheet name="Datos" sheetId="1" r:id="rId2"/>
  </sheets>
  <functionGroups builtInGroupCount="19"/>
  <definedNames>
    <definedName name="_xlnm._FilterDatabase" localSheetId="0" hidden="1">Resumen!#REF!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M37" i="2" l="1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</calcChain>
</file>

<file path=xl/sharedStrings.xml><?xml version="1.0" encoding="utf-8"?>
<sst xmlns="http://schemas.openxmlformats.org/spreadsheetml/2006/main" count="509" uniqueCount="227">
  <si>
    <t>Marca</t>
  </si>
  <si>
    <t>Modelo</t>
  </si>
  <si>
    <t>Cilindrada</t>
  </si>
  <si>
    <t>Año Min</t>
  </si>
  <si>
    <t>Año Max</t>
  </si>
  <si>
    <t>X004510/772</t>
  </si>
  <si>
    <t>Chevrolet</t>
  </si>
  <si>
    <t>DMAX</t>
  </si>
  <si>
    <t>X009540/085</t>
  </si>
  <si>
    <t>Ford</t>
  </si>
  <si>
    <t>RANGER</t>
  </si>
  <si>
    <t>X012603/100</t>
  </si>
  <si>
    <t>Honda</t>
  </si>
  <si>
    <t>ACCORD</t>
  </si>
  <si>
    <t>X012605/081</t>
  </si>
  <si>
    <t>CIVIC</t>
  </si>
  <si>
    <t>CRV</t>
  </si>
  <si>
    <t>X012605/082</t>
  </si>
  <si>
    <t>Acura</t>
  </si>
  <si>
    <t>EL</t>
  </si>
  <si>
    <t>X013679/233</t>
  </si>
  <si>
    <t>Hyundai</t>
  </si>
  <si>
    <t>H100</t>
  </si>
  <si>
    <t>X013679/234</t>
  </si>
  <si>
    <t>X013679/298</t>
  </si>
  <si>
    <t>NEW H1</t>
  </si>
  <si>
    <t>X013679/302</t>
  </si>
  <si>
    <t>SANTA FE</t>
  </si>
  <si>
    <t>X013679/310</t>
  </si>
  <si>
    <t>X013679/320</t>
  </si>
  <si>
    <t>X013679/330</t>
  </si>
  <si>
    <t>X013679/850</t>
  </si>
  <si>
    <t>ACCENT RB</t>
  </si>
  <si>
    <t>X017031/000</t>
  </si>
  <si>
    <t>Kia</t>
  </si>
  <si>
    <t>FORTE</t>
  </si>
  <si>
    <t>X017031/001</t>
  </si>
  <si>
    <t>X017032/000</t>
  </si>
  <si>
    <t>SOUL</t>
  </si>
  <si>
    <t>X017032/001</t>
  </si>
  <si>
    <t>X023642/100</t>
  </si>
  <si>
    <t>Mazda</t>
  </si>
  <si>
    <t>MAZDA 6</t>
  </si>
  <si>
    <t>X023642/102</t>
  </si>
  <si>
    <t>MAZDA 3</t>
  </si>
  <si>
    <t>MAZDA 5</t>
  </si>
  <si>
    <t>X023642/104</t>
  </si>
  <si>
    <t>X023646/045</t>
  </si>
  <si>
    <t>626</t>
  </si>
  <si>
    <t>MX-6</t>
  </si>
  <si>
    <t>X023665/001</t>
  </si>
  <si>
    <t>X025705/100</t>
  </si>
  <si>
    <t>Mitsubishi</t>
  </si>
  <si>
    <t>GALANT</t>
  </si>
  <si>
    <t>ECLIPSE</t>
  </si>
  <si>
    <t>X025709/038</t>
  </si>
  <si>
    <t>L200</t>
  </si>
  <si>
    <t>MONTERO SPORT</t>
  </si>
  <si>
    <t>X025709/039</t>
  </si>
  <si>
    <t>L200 SPORT</t>
  </si>
  <si>
    <t>X025709/045</t>
  </si>
  <si>
    <t>X026741/213</t>
  </si>
  <si>
    <t>Nissan</t>
  </si>
  <si>
    <t>PATHFINDER</t>
  </si>
  <si>
    <t>MAXIMA</t>
  </si>
  <si>
    <t>X026781/020</t>
  </si>
  <si>
    <t>SENTRA</t>
  </si>
  <si>
    <t>X026782/020</t>
  </si>
  <si>
    <t>NX</t>
  </si>
  <si>
    <t>200SX</t>
  </si>
  <si>
    <t>X026785/063</t>
  </si>
  <si>
    <t>D21 JAPONES</t>
  </si>
  <si>
    <t>X026789/000</t>
  </si>
  <si>
    <t>FRONTIER NP300</t>
  </si>
  <si>
    <t>X026789/001</t>
  </si>
  <si>
    <t>X026789/100</t>
  </si>
  <si>
    <t>MARCHA</t>
  </si>
  <si>
    <t>VERSA</t>
  </si>
  <si>
    <t>X026790/000</t>
  </si>
  <si>
    <t>ROGUE</t>
  </si>
  <si>
    <t>X026790/001</t>
  </si>
  <si>
    <t>X030543/750</t>
  </si>
  <si>
    <t>Peugeot</t>
  </si>
  <si>
    <t>308</t>
  </si>
  <si>
    <t>X037669/500</t>
  </si>
  <si>
    <t>Suzuki</t>
  </si>
  <si>
    <t>SWIFT</t>
  </si>
  <si>
    <t>BALENO</t>
  </si>
  <si>
    <t>ERTIGA</t>
  </si>
  <si>
    <t>X037669/510</t>
  </si>
  <si>
    <t>X040626/034</t>
  </si>
  <si>
    <t>Toyota</t>
  </si>
  <si>
    <t>COROLLA</t>
  </si>
  <si>
    <t>SIENNA</t>
  </si>
  <si>
    <t>X040626/061</t>
  </si>
  <si>
    <t>COROLLA SV 2ZR</t>
  </si>
  <si>
    <t>X040626/062</t>
  </si>
  <si>
    <t>X040633/043</t>
  </si>
  <si>
    <t>TERCEL</t>
  </si>
  <si>
    <t>X040634/072</t>
  </si>
  <si>
    <t>COASTER 6 CIL</t>
  </si>
  <si>
    <t>X040634/073</t>
  </si>
  <si>
    <t>X040634/200</t>
  </si>
  <si>
    <t>HILUX/FORTUNER</t>
  </si>
  <si>
    <t>X040634/250</t>
  </si>
  <si>
    <t>HILUX V</t>
  </si>
  <si>
    <t>X040635/051</t>
  </si>
  <si>
    <t>4RUNNER</t>
  </si>
  <si>
    <t>X088005/060</t>
  </si>
  <si>
    <t>JAC</t>
  </si>
  <si>
    <t>J5</t>
  </si>
  <si>
    <t>X088018/120</t>
  </si>
  <si>
    <t>Maxus</t>
  </si>
  <si>
    <t>T60</t>
  </si>
  <si>
    <t>INFORMACION PARA IMPORTACIONES</t>
  </si>
  <si>
    <t>INFORMACION PARA CATALOGOS</t>
  </si>
  <si>
    <r>
      <rPr>
        <b/>
        <sz val="11"/>
        <color theme="1"/>
        <rFont val="Aptos Narrow"/>
        <family val="2"/>
        <scheme val="minor"/>
      </rPr>
      <t>SIMBOLOGIA</t>
    </r>
    <r>
      <rPr>
        <sz val="11"/>
        <color theme="1"/>
        <rFont val="Aptos Narrow"/>
        <family val="2"/>
        <scheme val="minor"/>
      </rPr>
      <t xml:space="preserve">
D: NÚMERO DE DIENTES
E: NÚMERO DE ESTRÍAS
CW/CCW: SENTIDO DE ROTACIÓN</t>
    </r>
  </si>
  <si>
    <t>Nº</t>
  </si>
  <si>
    <t>MARCA</t>
  </si>
  <si>
    <t>UNIDAD DE NEGOCIO</t>
  </si>
  <si>
    <t>CODIGO PROVEEDOR</t>
  </si>
  <si>
    <t>CODIGO CM</t>
  </si>
  <si>
    <t>DESCRIPCION CORTA</t>
  </si>
  <si>
    <t>DESCRIPCION COMPLETA</t>
  </si>
  <si>
    <t>UNIDAD DE VENTA</t>
  </si>
  <si>
    <t>GRUPO</t>
  </si>
  <si>
    <t>HOMOLOGACION</t>
  </si>
  <si>
    <t>DESCRICION</t>
  </si>
  <si>
    <t>PRODUCTO Y POSICION</t>
  </si>
  <si>
    <t>APLICACIÓN</t>
  </si>
  <si>
    <t>CODIGO REFERENCIA</t>
  </si>
  <si>
    <t>ASIMILACION</t>
  </si>
  <si>
    <t>CODIGO OEM</t>
  </si>
  <si>
    <t>MEDIDAS</t>
  </si>
  <si>
    <t>FANADEGO</t>
  </si>
  <si>
    <t>CENTRO MOVIL</t>
  </si>
  <si>
    <t>MANGUERA</t>
  </si>
  <si>
    <t>RadIADOR Superior</t>
  </si>
  <si>
    <t>AB398B274BC/ 1726098/ 2124722</t>
  </si>
  <si>
    <t>Calefaccion</t>
  </si>
  <si>
    <t>79721-T2F-A00/ 79730-T2F-A00/ 87245-08010</t>
  </si>
  <si>
    <t>Retorno</t>
  </si>
  <si>
    <t>19508P07A00/ 19508P08000/ 19508P2TA00/ 19508PHK000</t>
  </si>
  <si>
    <t>RADIADOR Inferior</t>
  </si>
  <si>
    <t>19502P2A000/ 19502P08000/ 19502PG7000</t>
  </si>
  <si>
    <t>RADIADOR Superior</t>
  </si>
  <si>
    <t>25411-4H000</t>
  </si>
  <si>
    <t>2541206010/ 2541226010/ 2541226100/ 254122B100</t>
  </si>
  <si>
    <t>25412-2B100</t>
  </si>
  <si>
    <t>MA 62874</t>
  </si>
  <si>
    <t>MA 62659</t>
  </si>
  <si>
    <t>Radiador</t>
  </si>
  <si>
    <t>D4ZZ-8286-F/ D5ZE-8B273-BA/ F5DE-8A507-CE/ 21501-34W00/ 21501-36W00</t>
  </si>
  <si>
    <t>LF50-15-186F/ LF50-15-186C/ LF50-15-186G/ LFB7-15-186A/ LFB7-15-186C</t>
  </si>
  <si>
    <t>MR993697/ 16571-20060/ 16571-20091/ 16571-AA010</t>
  </si>
  <si>
    <t>MN135039</t>
  </si>
  <si>
    <t>CA140000</t>
  </si>
  <si>
    <t>190108 LCITTC</t>
  </si>
  <si>
    <t>92400-7S510/ 92400-7S520/ 92400-7S52A/ 92400-9FN1A/ 92400-JA100/ 92400-JA10A/ 92411-4W000</t>
  </si>
  <si>
    <t>92410-4Z700/ 92410-6Z700</t>
  </si>
  <si>
    <t>92410 F4000/ 87245-02C70/ 87245-12A10</t>
  </si>
  <si>
    <t>21501-2S602</t>
  </si>
  <si>
    <t>21503-2S602</t>
  </si>
  <si>
    <t>215033AB3A/ 215033HC3A</t>
  </si>
  <si>
    <t>MA66309</t>
  </si>
  <si>
    <t>MA66310</t>
  </si>
  <si>
    <t>17854M68P000</t>
  </si>
  <si>
    <t>17852M68P00</t>
  </si>
  <si>
    <t>87245-08080/ 87245-48590/ 87245-02510</t>
  </si>
  <si>
    <t>16573-0T040</t>
  </si>
  <si>
    <t>16572-0T040</t>
  </si>
  <si>
    <t>16571-17071</t>
  </si>
  <si>
    <t>16572-17101</t>
  </si>
  <si>
    <t>16572-0L030</t>
  </si>
  <si>
    <t>16571-0L150/ 16571-0L160</t>
  </si>
  <si>
    <t>87245-04130</t>
  </si>
  <si>
    <t>1303101U7020</t>
  </si>
  <si>
    <t>C00047879</t>
  </si>
  <si>
    <t>Codigo</t>
  </si>
  <si>
    <t>Motor</t>
  </si>
  <si>
    <t>3,2</t>
  </si>
  <si>
    <t>2,6</t>
  </si>
  <si>
    <t>2,5</t>
  </si>
  <si>
    <t>2,4</t>
  </si>
  <si>
    <t>2,7</t>
  </si>
  <si>
    <t>2,2</t>
  </si>
  <si>
    <t>1,4</t>
  </si>
  <si>
    <t>2,0/2,5</t>
  </si>
  <si>
    <t>1,6/2,0</t>
  </si>
  <si>
    <t>2,3</t>
  </si>
  <si>
    <t>1,6</t>
  </si>
  <si>
    <t>1,2/1,5</t>
  </si>
  <si>
    <t>1,8</t>
  </si>
  <si>
    <t>1,5</t>
  </si>
  <si>
    <t>4,2</t>
  </si>
  <si>
    <t>2,8</t>
  </si>
  <si>
    <t>SIN TURBO</t>
  </si>
  <si>
    <t>FORD: RANGER 3,2 DEL 11 AL 18</t>
  </si>
  <si>
    <t>HONDA: ACCORD DEL 13 AL 17</t>
  </si>
  <si>
    <t>HONDA: CIVIC DEL 88 AL 00; ACCORD DEL 90 AL 93; CRV DEL 97 AL 01</t>
  </si>
  <si>
    <t>HONDA: CIVIC DEL 92 AL 00; ACURA: EL DEL 97 AL 02</t>
  </si>
  <si>
    <t>HYUNDAI: NEW H1 2,5 DEL 08 AL 18</t>
  </si>
  <si>
    <t>HYUNDAI: SANTA FE 2,4 DEL 01 AL 06</t>
  </si>
  <si>
    <t>HYUNDAI: SANTA FE 2,7 DEL 06 AL 12</t>
  </si>
  <si>
    <t>KIA: SOUL 1,6/2,0 DEL 22 AL 25</t>
  </si>
  <si>
    <t>MAZDA: MAZDA 6 DEL 03 AL 05</t>
  </si>
  <si>
    <t>MAZDA: MAZDA 3 DEL 04 AL 09</t>
  </si>
  <si>
    <t>MITSUBISHI: GALANT DEL 04 AL 12; ECLIPSE DEL 08 AL 12</t>
  </si>
  <si>
    <t>MITSUBISHI: L200 2,5 DEL 06 AL 15; MONTERO SPORT 2,5 DEL 06 AL 15</t>
  </si>
  <si>
    <t>MITSUBISHI: L200 SPORT 2,5 DEL 03 AL 08</t>
  </si>
  <si>
    <t>MITSUBISHI: L200 2,4 DEL 20 AL 25</t>
  </si>
  <si>
    <t>NISSAN: PATHFINDER DEL 01 AL 04; MAXIMA DEL 85 AL 85; DEL 09 AL 14</t>
  </si>
  <si>
    <t>NISSAN: SENTRA DEL 02 AL 06</t>
  </si>
  <si>
    <t>NISSAN: D21 JAPONES DEL 04 AL 99</t>
  </si>
  <si>
    <t>NISSAN: FRONTIER NP300 2,3 DEL 18 AL 25</t>
  </si>
  <si>
    <t>NISSAN: MARCHA 1,6 DEL 11 AL 17; VERSA 1,6 DEL 11 AL 17</t>
  </si>
  <si>
    <t>NISSAN: ROGUE 2,5 DEL 15 AL 15</t>
  </si>
  <si>
    <t>SUZUKI: SWIFT 1,2/1,5 DEL 18 AL 21; BALENO 1,2/1,5 DEL 15 AL 22; ERTIGA 1,2/1,5 DEL 18 AL 22</t>
  </si>
  <si>
    <t>SUZUKI: BALENO 1,2/1,5 DEL 15 AL 22; ERTIGA 1,2/1,5 DEL 18 AL 22</t>
  </si>
  <si>
    <t>TOYOTA: COROLLA DEL 03 AL 08; SIENNA DEL 04 AL 06</t>
  </si>
  <si>
    <t>TOYOTA: COROLLA SV 2ZR 1,8 DEL 22 AL 22</t>
  </si>
  <si>
    <t>TOYOTA: COASTER 6 CIL 4,2 DEL 21 AL 21</t>
  </si>
  <si>
    <t>TOYOTA: HILUX/FORTUNER 2,5 DEL 05 AL 15</t>
  </si>
  <si>
    <t>TOYOTA: HILUX V 2,8 DEL 05 AL 25</t>
  </si>
  <si>
    <t>TOYOTA: 4RUNNER DEL 96 AL 02</t>
  </si>
  <si>
    <t>JAC: J5 1,5 DEL 11 AL 16</t>
  </si>
  <si>
    <t>MAXUS: T60 DEL 16 AL 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</si>
</sst>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26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0"/>
      <name val="Arial"/>
      <family val="2"/>
    </font>
    <font>
      <b/>
      <sz val="12"/>
      <color rgb="FFFFFF00"/>
      <name val="Aptos Narrow"/>
      <family val="2"/>
      <scheme val="minor"/>
    </font>
    <font>
      <sz val="11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rgb="FF2E7D32"/>
        <bgColor rgb="FF2E7D3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3" fillId="0" borderId="1" xfId="0" applyFont="1" applyBorder="1"/>
    <xf numFmtId="0" fontId="0" fillId="5" borderId="1" xfId="0" applyFill="1" applyBorder="1" applyAlignment="1">
      <alignment vertical="top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left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 wrapText="1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D7A7F056-0313-42C8-AC2D-39CAA073FB6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0</xdr:row>
          <xdr:rowOff>466725</xdr:rowOff>
        </xdr:from>
        <xdr:to>
          <xdr:col>4</xdr:col>
          <xdr:colOff>76200</xdr:colOff>
          <xdr:row>0</xdr:row>
          <xdr:rowOff>790575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Generar Descripcion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A4D14-8D5C-4DC3-B905-47D5E2505736}">
  <sheetPr codeName="Hoja1"/>
  <dimension ref="A1:W37"/>
  <sheetViews>
    <sheetView workbookViewId="0">
      <selection activeCell="N3" sqref="N3"/>
    </sheetView>
  </sheetViews>
  <sheetFormatPr baseColWidth="10" defaultColWidth="11.42578125" defaultRowHeight="15" x14ac:dyDescent="0.25"/>
  <cols>
    <col min="1" max="1" width="3.5703125" style="13" bestFit="1" customWidth="1"/>
    <col min="2" max="2" width="15.140625" style="13" customWidth="1"/>
    <col min="3" max="3" width="18.28515625" style="13" customWidth="1"/>
    <col min="4" max="4" width="12.7109375" style="13" customWidth="1"/>
    <col min="5" max="5" width="14.28515625" style="14" bestFit="1" customWidth="1"/>
    <col min="6" max="6" width="36.140625" style="15" customWidth="1"/>
    <col min="7" max="7" width="51.42578125" style="13" customWidth="1"/>
    <col min="8" max="8" width="11.85546875" bestFit="1" customWidth="1"/>
    <col min="9" max="9" width="13.7109375" customWidth="1"/>
    <col min="10" max="10" width="21" customWidth="1"/>
    <col min="11" max="13" width="14.5703125" style="15" customWidth="1"/>
    <col min="14" max="14" width="36.140625" style="15" customWidth="1"/>
    <col min="15" max="15" width="14.42578125" style="15" customWidth="1"/>
    <col min="16" max="16" width="16.5703125" style="15" customWidth="1"/>
    <col min="17" max="17" width="15.85546875" style="15" customWidth="1"/>
    <col min="18" max="18" width="24.5703125" style="15" customWidth="1"/>
  </cols>
  <sheetData>
    <row r="1" spans="1:23" ht="78" customHeight="1" x14ac:dyDescent="0.25">
      <c r="A1" s="21" t="s">
        <v>114</v>
      </c>
      <c r="B1" s="21"/>
      <c r="C1" s="21"/>
      <c r="D1" s="21"/>
      <c r="E1" s="21"/>
      <c r="F1" s="21"/>
      <c r="G1" s="21"/>
      <c r="H1" s="21"/>
      <c r="I1" s="21"/>
      <c r="J1" s="21"/>
      <c r="K1" s="22" t="s">
        <v>115</v>
      </c>
      <c r="L1" s="23"/>
      <c r="M1" s="23"/>
      <c r="N1" s="23"/>
      <c r="O1" s="23"/>
      <c r="P1" s="23"/>
      <c r="Q1" s="24"/>
      <c r="R1" s="3" t="s">
        <v>116</v>
      </c>
      <c r="T1" s="4"/>
      <c r="U1" s="4"/>
      <c r="V1" s="4"/>
      <c r="W1" s="5"/>
    </row>
    <row r="2" spans="1:23" ht="33.75" customHeight="1" x14ac:dyDescent="0.25">
      <c r="A2" s="6" t="s">
        <v>117</v>
      </c>
      <c r="B2" s="6" t="s">
        <v>118</v>
      </c>
      <c r="C2" s="6" t="s">
        <v>119</v>
      </c>
      <c r="D2" s="20" t="s">
        <v>120</v>
      </c>
      <c r="E2" s="6" t="s">
        <v>121</v>
      </c>
      <c r="F2" s="6" t="s">
        <v>122</v>
      </c>
      <c r="G2" s="6" t="s">
        <v>123</v>
      </c>
      <c r="H2" s="6" t="s">
        <v>124</v>
      </c>
      <c r="I2" s="6" t="s">
        <v>125</v>
      </c>
      <c r="J2" s="6" t="s">
        <v>126</v>
      </c>
      <c r="K2" s="7" t="s">
        <v>127</v>
      </c>
      <c r="L2" s="7" t="s">
        <v>128</v>
      </c>
      <c r="M2" s="7"/>
      <c r="N2" s="7" t="s">
        <v>129</v>
      </c>
      <c r="O2" s="7" t="s">
        <v>130</v>
      </c>
      <c r="P2" s="7" t="s">
        <v>131</v>
      </c>
      <c r="Q2" s="7" t="s">
        <v>132</v>
      </c>
      <c r="R2" s="7" t="s">
        <v>133</v>
      </c>
    </row>
    <row r="3" spans="1:23" s="12" customFormat="1" ht="80.25" customHeight="1" x14ac:dyDescent="0.25">
      <c r="A3" s="8">
        <v>1</v>
      </c>
      <c r="B3" s="9" t="s">
        <v>134</v>
      </c>
      <c r="C3" s="9" t="s">
        <v>135</v>
      </c>
      <c r="D3" s="8" t="s">
        <v>8</v>
      </c>
      <c r="E3"/>
      <c r="F3" s="10"/>
      <c r="G3" s="10"/>
      <c r="H3" s="11"/>
      <c r="I3" s="11"/>
      <c r="J3" s="11"/>
      <c r="K3" s="8" t="s">
        <v>136</v>
      </c>
      <c r="L3" s="8" t="s">
        <v>137</v>
      </c>
      <c r="M3" s="8" t="str">
        <f>UPPER(L3)</f>
        <v>RADIADOR SUPERIOR</v>
      </c>
      <c r="N3" s="19" t="s">
        <v>197</v>
      </c>
      <c r="O3" s="8"/>
      <c r="P3" s="8"/>
      <c r="Q3" s="8" t="s">
        <v>138</v>
      </c>
      <c r="R3" s="8"/>
    </row>
    <row r="4" spans="1:23" ht="45" x14ac:dyDescent="0.25">
      <c r="A4" s="8">
        <v>1</v>
      </c>
      <c r="B4" s="9" t="s">
        <v>134</v>
      </c>
      <c r="C4" s="9" t="s">
        <v>135</v>
      </c>
      <c r="D4" s="8" t="s">
        <v>11</v>
      </c>
      <c r="E4" s="8"/>
      <c r="F4" s="10"/>
      <c r="G4" s="10"/>
      <c r="H4" s="11"/>
      <c r="I4" s="11"/>
      <c r="J4" s="11"/>
      <c r="K4" s="8" t="s">
        <v>136</v>
      </c>
      <c r="L4" s="8" t="s">
        <v>139</v>
      </c>
      <c r="M4" s="8" t="str">
        <f t="shared" ref="M4:M37" si="0">UPPER(L4)</f>
        <v>CALEFACCION</v>
      </c>
      <c r="N4" s="19" t="s">
        <v>198</v>
      </c>
      <c r="O4" s="8"/>
      <c r="P4" s="8"/>
      <c r="Q4" s="8" t="s">
        <v>140</v>
      </c>
      <c r="R4" s="8"/>
    </row>
    <row r="5" spans="1:23" ht="60" x14ac:dyDescent="0.25">
      <c r="A5" s="8">
        <v>2</v>
      </c>
      <c r="B5" s="9" t="s">
        <v>134</v>
      </c>
      <c r="C5" s="9" t="s">
        <v>135</v>
      </c>
      <c r="D5" s="8" t="s">
        <v>14</v>
      </c>
      <c r="E5" s="8"/>
      <c r="F5" s="10"/>
      <c r="G5" s="10"/>
      <c r="H5" s="11"/>
      <c r="I5" s="11"/>
      <c r="J5" s="11"/>
      <c r="K5" s="8" t="s">
        <v>136</v>
      </c>
      <c r="L5" s="8" t="s">
        <v>141</v>
      </c>
      <c r="M5" s="8" t="str">
        <f t="shared" si="0"/>
        <v>RETORNO</v>
      </c>
      <c r="N5" s="19" t="s">
        <v>199</v>
      </c>
      <c r="O5" s="8"/>
      <c r="P5" s="8"/>
      <c r="Q5" s="8" t="s">
        <v>142</v>
      </c>
      <c r="R5" s="8"/>
    </row>
    <row r="6" spans="1:23" ht="45" x14ac:dyDescent="0.25">
      <c r="A6" s="8">
        <v>3</v>
      </c>
      <c r="B6" s="9" t="s">
        <v>134</v>
      </c>
      <c r="C6" s="9" t="s">
        <v>135</v>
      </c>
      <c r="D6" s="8" t="s">
        <v>17</v>
      </c>
      <c r="E6" s="8"/>
      <c r="F6" s="10"/>
      <c r="G6" s="10"/>
      <c r="H6" s="11"/>
      <c r="I6" s="11"/>
      <c r="J6" s="11"/>
      <c r="K6" s="8" t="s">
        <v>136</v>
      </c>
      <c r="L6" s="8" t="s">
        <v>143</v>
      </c>
      <c r="M6" s="8" t="str">
        <f t="shared" si="0"/>
        <v>RADIADOR INFERIOR</v>
      </c>
      <c r="N6" s="19" t="s">
        <v>200</v>
      </c>
      <c r="O6" s="8"/>
      <c r="P6" s="8"/>
      <c r="Q6" s="8" t="s">
        <v>144</v>
      </c>
      <c r="R6" s="8"/>
    </row>
    <row r="7" spans="1:23" ht="30" x14ac:dyDescent="0.25">
      <c r="A7" s="8">
        <v>4</v>
      </c>
      <c r="B7" s="9" t="s">
        <v>134</v>
      </c>
      <c r="C7" s="9" t="s">
        <v>135</v>
      </c>
      <c r="D7" s="8" t="s">
        <v>24</v>
      </c>
      <c r="E7" s="8"/>
      <c r="F7" s="10"/>
      <c r="G7" s="10"/>
      <c r="H7" s="11"/>
      <c r="I7" s="11"/>
      <c r="J7" s="11"/>
      <c r="K7" s="8" t="s">
        <v>136</v>
      </c>
      <c r="L7" s="8" t="s">
        <v>145</v>
      </c>
      <c r="M7" s="8" t="str">
        <f t="shared" si="0"/>
        <v>RADIADOR SUPERIOR</v>
      </c>
      <c r="N7" s="19" t="s">
        <v>201</v>
      </c>
      <c r="O7" s="8"/>
      <c r="P7" s="8"/>
      <c r="Q7" s="8" t="s">
        <v>146</v>
      </c>
      <c r="R7" s="8"/>
    </row>
    <row r="8" spans="1:23" ht="60" x14ac:dyDescent="0.25">
      <c r="A8" s="8">
        <v>5</v>
      </c>
      <c r="B8" s="9" t="s">
        <v>134</v>
      </c>
      <c r="C8" s="9" t="s">
        <v>135</v>
      </c>
      <c r="D8" s="8" t="s">
        <v>26</v>
      </c>
      <c r="E8" s="8"/>
      <c r="F8" s="10"/>
      <c r="G8" s="10"/>
      <c r="H8" s="11"/>
      <c r="I8" s="11"/>
      <c r="J8" s="11"/>
      <c r="K8" s="8" t="s">
        <v>136</v>
      </c>
      <c r="L8" s="8" t="s">
        <v>143</v>
      </c>
      <c r="M8" s="8" t="str">
        <f t="shared" si="0"/>
        <v>RADIADOR INFERIOR</v>
      </c>
      <c r="N8" s="19" t="s">
        <v>202</v>
      </c>
      <c r="O8" s="8"/>
      <c r="P8" s="8"/>
      <c r="Q8" s="8" t="s">
        <v>147</v>
      </c>
      <c r="R8" s="8"/>
    </row>
    <row r="9" spans="1:23" ht="30" x14ac:dyDescent="0.25">
      <c r="A9" s="8">
        <v>6</v>
      </c>
      <c r="B9" s="9" t="s">
        <v>134</v>
      </c>
      <c r="C9" s="9" t="s">
        <v>135</v>
      </c>
      <c r="D9" s="8" t="s">
        <v>28</v>
      </c>
      <c r="E9" s="8"/>
      <c r="F9" s="10"/>
      <c r="G9" s="10"/>
      <c r="H9" s="11"/>
      <c r="I9" s="11"/>
      <c r="J9" s="11"/>
      <c r="K9" s="8" t="s">
        <v>136</v>
      </c>
      <c r="L9" s="8" t="s">
        <v>145</v>
      </c>
      <c r="M9" s="8" t="str">
        <f t="shared" si="0"/>
        <v>RADIADOR SUPERIOR</v>
      </c>
      <c r="N9" s="19" t="s">
        <v>203</v>
      </c>
      <c r="O9" s="8"/>
      <c r="P9" s="8"/>
      <c r="Q9" s="8" t="s">
        <v>148</v>
      </c>
      <c r="R9" s="8"/>
    </row>
    <row r="10" spans="1:23" ht="30" x14ac:dyDescent="0.25">
      <c r="A10" s="8">
        <v>7</v>
      </c>
      <c r="B10" s="9" t="s">
        <v>134</v>
      </c>
      <c r="C10" s="9" t="s">
        <v>135</v>
      </c>
      <c r="D10" s="8" t="s">
        <v>37</v>
      </c>
      <c r="E10" s="8"/>
      <c r="F10" s="10"/>
      <c r="G10" s="10"/>
      <c r="H10" s="11"/>
      <c r="I10" s="11"/>
      <c r="J10" s="11"/>
      <c r="K10" s="8" t="s">
        <v>136</v>
      </c>
      <c r="L10" s="8" t="s">
        <v>145</v>
      </c>
      <c r="M10" s="8" t="str">
        <f t="shared" si="0"/>
        <v>RADIADOR SUPERIOR</v>
      </c>
      <c r="N10" s="19" t="s">
        <v>204</v>
      </c>
      <c r="O10" s="8"/>
      <c r="P10" s="8"/>
      <c r="Q10" s="8" t="s">
        <v>149</v>
      </c>
      <c r="R10" s="8"/>
    </row>
    <row r="11" spans="1:23" ht="30" x14ac:dyDescent="0.25">
      <c r="A11" s="8">
        <v>8</v>
      </c>
      <c r="B11" s="9" t="s">
        <v>134</v>
      </c>
      <c r="C11" s="9" t="s">
        <v>135</v>
      </c>
      <c r="D11" s="8" t="s">
        <v>39</v>
      </c>
      <c r="E11" s="8"/>
      <c r="F11" s="10"/>
      <c r="G11" s="10"/>
      <c r="H11" s="11"/>
      <c r="I11" s="11"/>
      <c r="J11" s="11"/>
      <c r="K11" s="8" t="s">
        <v>136</v>
      </c>
      <c r="L11" s="8" t="s">
        <v>143</v>
      </c>
      <c r="M11" s="8" t="str">
        <f t="shared" si="0"/>
        <v>RADIADOR INFERIOR</v>
      </c>
      <c r="N11" s="19" t="s">
        <v>204</v>
      </c>
      <c r="O11" s="8"/>
      <c r="P11" s="8"/>
      <c r="Q11" s="8" t="s">
        <v>150</v>
      </c>
      <c r="R11" s="8"/>
    </row>
    <row r="12" spans="1:23" ht="75" x14ac:dyDescent="0.25">
      <c r="A12" s="8">
        <v>9</v>
      </c>
      <c r="B12" s="9" t="s">
        <v>134</v>
      </c>
      <c r="C12" s="9" t="s">
        <v>135</v>
      </c>
      <c r="D12" s="8" t="s">
        <v>40</v>
      </c>
      <c r="E12" s="8"/>
      <c r="F12" s="10"/>
      <c r="G12" s="10"/>
      <c r="H12" s="11"/>
      <c r="I12" s="11"/>
      <c r="J12" s="11"/>
      <c r="K12" s="8" t="s">
        <v>136</v>
      </c>
      <c r="L12" s="8" t="s">
        <v>151</v>
      </c>
      <c r="M12" s="8" t="str">
        <f t="shared" si="0"/>
        <v>RADIADOR</v>
      </c>
      <c r="N12" s="19" t="s">
        <v>205</v>
      </c>
      <c r="O12" s="8"/>
      <c r="P12" s="8"/>
      <c r="Q12" s="8" t="s">
        <v>152</v>
      </c>
      <c r="R12" s="8"/>
    </row>
    <row r="13" spans="1:23" ht="75" x14ac:dyDescent="0.25">
      <c r="A13" s="8">
        <v>10</v>
      </c>
      <c r="B13" s="9" t="s">
        <v>134</v>
      </c>
      <c r="C13" s="9" t="s">
        <v>135</v>
      </c>
      <c r="D13" s="8" t="s">
        <v>50</v>
      </c>
      <c r="E13" s="8"/>
      <c r="F13" s="10"/>
      <c r="G13" s="10"/>
      <c r="H13" s="11"/>
      <c r="I13" s="11"/>
      <c r="J13" s="11"/>
      <c r="K13" s="8" t="s">
        <v>136</v>
      </c>
      <c r="L13" s="8" t="s">
        <v>145</v>
      </c>
      <c r="M13" s="8" t="str">
        <f t="shared" si="0"/>
        <v>RADIADOR SUPERIOR</v>
      </c>
      <c r="N13" s="19" t="s">
        <v>206</v>
      </c>
      <c r="O13" s="8"/>
      <c r="P13" s="8"/>
      <c r="Q13" s="8" t="s">
        <v>153</v>
      </c>
      <c r="R13" s="8"/>
    </row>
    <row r="14" spans="1:23" ht="60" x14ac:dyDescent="0.25">
      <c r="A14" s="8">
        <v>11</v>
      </c>
      <c r="B14" s="9" t="s">
        <v>134</v>
      </c>
      <c r="C14" s="9" t="s">
        <v>135</v>
      </c>
      <c r="D14" s="8" t="s">
        <v>51</v>
      </c>
      <c r="E14" s="8"/>
      <c r="F14" s="10"/>
      <c r="G14" s="10"/>
      <c r="H14" s="11"/>
      <c r="I14" s="11"/>
      <c r="J14" s="11"/>
      <c r="K14" s="8" t="s">
        <v>136</v>
      </c>
      <c r="L14" s="8" t="s">
        <v>145</v>
      </c>
      <c r="M14" s="8" t="str">
        <f t="shared" si="0"/>
        <v>RADIADOR SUPERIOR</v>
      </c>
      <c r="N14" s="19" t="s">
        <v>207</v>
      </c>
      <c r="O14" s="8"/>
      <c r="P14" s="8"/>
      <c r="Q14" s="8" t="s">
        <v>154</v>
      </c>
      <c r="R14" s="8"/>
    </row>
    <row r="15" spans="1:23" ht="30" x14ac:dyDescent="0.25">
      <c r="A15" s="8">
        <v>12</v>
      </c>
      <c r="B15" s="9" t="s">
        <v>134</v>
      </c>
      <c r="C15" s="9" t="s">
        <v>135</v>
      </c>
      <c r="D15" s="8" t="s">
        <v>55</v>
      </c>
      <c r="E15" s="8"/>
      <c r="F15" s="10"/>
      <c r="G15" s="10"/>
      <c r="H15" s="11"/>
      <c r="I15" s="11"/>
      <c r="J15" s="11"/>
      <c r="K15" s="8" t="s">
        <v>136</v>
      </c>
      <c r="L15" s="8" t="s">
        <v>145</v>
      </c>
      <c r="M15" s="8" t="str">
        <f t="shared" si="0"/>
        <v>RADIADOR SUPERIOR</v>
      </c>
      <c r="N15" s="19" t="s">
        <v>208</v>
      </c>
      <c r="O15" s="8"/>
      <c r="P15" s="8"/>
      <c r="Q15" s="8" t="s">
        <v>155</v>
      </c>
      <c r="R15" s="8"/>
    </row>
    <row r="16" spans="1:23" ht="30" x14ac:dyDescent="0.25">
      <c r="A16" s="8">
        <v>13</v>
      </c>
      <c r="B16" s="9" t="s">
        <v>134</v>
      </c>
      <c r="C16" s="9" t="s">
        <v>135</v>
      </c>
      <c r="D16" s="8" t="s">
        <v>58</v>
      </c>
      <c r="E16" s="8"/>
      <c r="F16" s="10"/>
      <c r="G16" s="10"/>
      <c r="H16" s="11"/>
      <c r="I16" s="11"/>
      <c r="J16" s="11"/>
      <c r="K16" s="8" t="s">
        <v>136</v>
      </c>
      <c r="L16" s="8" t="s">
        <v>145</v>
      </c>
      <c r="M16" s="8" t="str">
        <f t="shared" si="0"/>
        <v>RADIADOR SUPERIOR</v>
      </c>
      <c r="N16" s="19" t="s">
        <v>209</v>
      </c>
      <c r="O16" s="8"/>
      <c r="P16" s="8"/>
      <c r="Q16" s="8" t="s">
        <v>156</v>
      </c>
      <c r="R16" s="8"/>
    </row>
    <row r="17" spans="1:18" x14ac:dyDescent="0.25">
      <c r="A17" s="8">
        <v>14</v>
      </c>
      <c r="B17" s="9" t="s">
        <v>134</v>
      </c>
      <c r="C17" s="9" t="s">
        <v>135</v>
      </c>
      <c r="D17" s="8" t="s">
        <v>60</v>
      </c>
      <c r="E17" s="8"/>
      <c r="F17" s="10"/>
      <c r="G17" s="10"/>
      <c r="H17" s="11"/>
      <c r="I17" s="11"/>
      <c r="J17" s="11"/>
      <c r="K17" s="8" t="s">
        <v>136</v>
      </c>
      <c r="L17" s="8" t="s">
        <v>139</v>
      </c>
      <c r="M17" s="8" t="str">
        <f t="shared" si="0"/>
        <v>CALEFACCION</v>
      </c>
      <c r="N17" s="19" t="s">
        <v>210</v>
      </c>
      <c r="O17" s="8"/>
      <c r="P17" s="8"/>
      <c r="Q17" s="8" t="s">
        <v>157</v>
      </c>
      <c r="R17" s="8"/>
    </row>
    <row r="18" spans="1:18" ht="105" x14ac:dyDescent="0.25">
      <c r="A18" s="8">
        <v>15</v>
      </c>
      <c r="B18" s="9" t="s">
        <v>134</v>
      </c>
      <c r="C18" s="9" t="s">
        <v>135</v>
      </c>
      <c r="D18" s="8" t="s">
        <v>61</v>
      </c>
      <c r="E18" s="8"/>
      <c r="F18" s="10"/>
      <c r="G18" s="10"/>
      <c r="H18" s="11"/>
      <c r="I18" s="11"/>
      <c r="J18" s="11"/>
      <c r="K18" s="8" t="s">
        <v>136</v>
      </c>
      <c r="L18" s="8" t="s">
        <v>139</v>
      </c>
      <c r="M18" s="8" t="str">
        <f t="shared" si="0"/>
        <v>CALEFACCION</v>
      </c>
      <c r="N18" s="19" t="s">
        <v>211</v>
      </c>
      <c r="O18" s="8"/>
      <c r="P18" s="8"/>
      <c r="Q18" s="8" t="s">
        <v>158</v>
      </c>
      <c r="R18" s="8"/>
    </row>
    <row r="19" spans="1:18" ht="30" x14ac:dyDescent="0.25">
      <c r="A19" s="8">
        <v>16</v>
      </c>
      <c r="B19" s="9" t="s">
        <v>134</v>
      </c>
      <c r="C19" s="9" t="s">
        <v>135</v>
      </c>
      <c r="D19" s="8" t="s">
        <v>65</v>
      </c>
      <c r="E19" s="8"/>
      <c r="F19" s="10"/>
      <c r="G19" s="10"/>
      <c r="H19" s="11"/>
      <c r="I19" s="11"/>
      <c r="J19" s="11"/>
      <c r="K19" s="8" t="s">
        <v>136</v>
      </c>
      <c r="L19" s="8" t="s">
        <v>139</v>
      </c>
      <c r="M19" s="8" t="str">
        <f t="shared" si="0"/>
        <v>CALEFACCION</v>
      </c>
      <c r="N19" s="19" t="s">
        <v>212</v>
      </c>
      <c r="O19" s="8"/>
      <c r="P19" s="8"/>
      <c r="Q19" s="8" t="s">
        <v>159</v>
      </c>
      <c r="R19" s="8"/>
    </row>
    <row r="20" spans="1:18" ht="45" x14ac:dyDescent="0.25">
      <c r="A20" s="8">
        <v>17</v>
      </c>
      <c r="B20" s="9" t="s">
        <v>134</v>
      </c>
      <c r="C20" s="9" t="s">
        <v>135</v>
      </c>
      <c r="D20" s="8" t="s">
        <v>70</v>
      </c>
      <c r="E20" s="8"/>
      <c r="F20" s="10"/>
      <c r="G20" s="10"/>
      <c r="H20" s="11"/>
      <c r="I20" s="11"/>
      <c r="J20" s="11"/>
      <c r="K20" s="8" t="s">
        <v>136</v>
      </c>
      <c r="L20" s="8" t="s">
        <v>139</v>
      </c>
      <c r="M20" s="8" t="str">
        <f t="shared" si="0"/>
        <v>CALEFACCION</v>
      </c>
      <c r="N20" s="19" t="s">
        <v>213</v>
      </c>
      <c r="O20" s="8"/>
      <c r="P20" s="8"/>
      <c r="Q20" s="8" t="s">
        <v>160</v>
      </c>
      <c r="R20" s="8"/>
    </row>
    <row r="21" spans="1:18" ht="30" x14ac:dyDescent="0.25">
      <c r="A21" s="8">
        <v>18</v>
      </c>
      <c r="B21" s="9" t="s">
        <v>134</v>
      </c>
      <c r="C21" s="9" t="s">
        <v>135</v>
      </c>
      <c r="D21" s="8" t="s">
        <v>72</v>
      </c>
      <c r="E21" s="8"/>
      <c r="F21" s="10"/>
      <c r="G21" s="10"/>
      <c r="H21" s="11"/>
      <c r="I21" s="11"/>
      <c r="J21" s="11"/>
      <c r="K21" s="8" t="s">
        <v>136</v>
      </c>
      <c r="L21" s="8" t="s">
        <v>145</v>
      </c>
      <c r="M21" s="8" t="str">
        <f t="shared" si="0"/>
        <v>RADIADOR SUPERIOR</v>
      </c>
      <c r="N21" s="19" t="s">
        <v>214</v>
      </c>
      <c r="O21" s="8"/>
      <c r="P21" s="8"/>
      <c r="Q21" s="8" t="s">
        <v>161</v>
      </c>
      <c r="R21" s="8"/>
    </row>
    <row r="22" spans="1:18" ht="30" x14ac:dyDescent="0.25">
      <c r="A22" s="8">
        <v>19</v>
      </c>
      <c r="B22" s="9" t="s">
        <v>134</v>
      </c>
      <c r="C22" s="9" t="s">
        <v>135</v>
      </c>
      <c r="D22" s="8" t="s">
        <v>74</v>
      </c>
      <c r="E22" s="8"/>
      <c r="F22" s="10"/>
      <c r="G22" s="10"/>
      <c r="H22" s="11"/>
      <c r="I22" s="11"/>
      <c r="J22" s="11"/>
      <c r="K22" s="8" t="s">
        <v>136</v>
      </c>
      <c r="L22" s="8" t="s">
        <v>143</v>
      </c>
      <c r="M22" s="8" t="str">
        <f t="shared" si="0"/>
        <v>RADIADOR INFERIOR</v>
      </c>
      <c r="N22" s="19" t="s">
        <v>214</v>
      </c>
      <c r="O22" s="8"/>
      <c r="P22" s="8"/>
      <c r="Q22" s="8" t="s">
        <v>162</v>
      </c>
      <c r="R22" s="8"/>
    </row>
    <row r="23" spans="1:18" ht="30" x14ac:dyDescent="0.25">
      <c r="A23" s="8">
        <v>20</v>
      </c>
      <c r="B23" s="9" t="s">
        <v>134</v>
      </c>
      <c r="C23" s="9" t="s">
        <v>135</v>
      </c>
      <c r="D23" s="8" t="s">
        <v>75</v>
      </c>
      <c r="E23" s="8"/>
      <c r="F23" s="10"/>
      <c r="G23" s="10"/>
      <c r="H23" s="11"/>
      <c r="I23" s="11"/>
      <c r="J23" s="11"/>
      <c r="K23" s="8" t="s">
        <v>136</v>
      </c>
      <c r="L23" s="8" t="s">
        <v>143</v>
      </c>
      <c r="M23" s="8" t="str">
        <f t="shared" si="0"/>
        <v>RADIADOR INFERIOR</v>
      </c>
      <c r="N23" s="19" t="s">
        <v>215</v>
      </c>
      <c r="O23" s="8"/>
      <c r="P23" s="8"/>
      <c r="Q23" s="8" t="s">
        <v>163</v>
      </c>
      <c r="R23" s="8"/>
    </row>
    <row r="24" spans="1:18" ht="30" x14ac:dyDescent="0.25">
      <c r="A24" s="8">
        <v>21</v>
      </c>
      <c r="B24" s="9" t="s">
        <v>134</v>
      </c>
      <c r="C24" s="9" t="s">
        <v>135</v>
      </c>
      <c r="D24" s="8" t="s">
        <v>78</v>
      </c>
      <c r="E24" s="8"/>
      <c r="F24" s="10"/>
      <c r="G24" s="10"/>
      <c r="H24" s="11"/>
      <c r="I24" s="11"/>
      <c r="J24" s="11"/>
      <c r="K24" s="8" t="s">
        <v>136</v>
      </c>
      <c r="L24" s="8" t="s">
        <v>145</v>
      </c>
      <c r="M24" s="8" t="str">
        <f t="shared" si="0"/>
        <v>RADIADOR SUPERIOR</v>
      </c>
      <c r="N24" s="19" t="s">
        <v>216</v>
      </c>
      <c r="O24" s="8"/>
      <c r="P24" s="8"/>
      <c r="Q24" s="8" t="s">
        <v>164</v>
      </c>
      <c r="R24" s="8"/>
    </row>
    <row r="25" spans="1:18" ht="30" x14ac:dyDescent="0.25">
      <c r="A25" s="8">
        <v>22</v>
      </c>
      <c r="B25" s="9" t="s">
        <v>134</v>
      </c>
      <c r="C25" s="9" t="s">
        <v>135</v>
      </c>
      <c r="D25" s="8" t="s">
        <v>80</v>
      </c>
      <c r="E25" s="8"/>
      <c r="F25" s="10"/>
      <c r="G25" s="10"/>
      <c r="H25" s="11"/>
      <c r="I25" s="11"/>
      <c r="J25" s="11"/>
      <c r="K25" s="8" t="s">
        <v>136</v>
      </c>
      <c r="L25" s="8" t="s">
        <v>143</v>
      </c>
      <c r="M25" s="8" t="str">
        <f t="shared" si="0"/>
        <v>RADIADOR INFERIOR</v>
      </c>
      <c r="N25" s="19" t="s">
        <v>216</v>
      </c>
      <c r="O25" s="8"/>
      <c r="P25" s="8"/>
      <c r="Q25" s="8" t="s">
        <v>165</v>
      </c>
      <c r="R25" s="8"/>
    </row>
    <row r="26" spans="1:18" ht="45" x14ac:dyDescent="0.25">
      <c r="A26" s="8">
        <v>23</v>
      </c>
      <c r="B26" s="9" t="s">
        <v>134</v>
      </c>
      <c r="C26" s="9" t="s">
        <v>135</v>
      </c>
      <c r="D26" s="8" t="s">
        <v>84</v>
      </c>
      <c r="E26" s="8"/>
      <c r="F26" s="10"/>
      <c r="G26" s="10"/>
      <c r="H26" s="11"/>
      <c r="I26" s="11"/>
      <c r="J26" s="11"/>
      <c r="K26" s="8" t="s">
        <v>136</v>
      </c>
      <c r="L26" s="8" t="s">
        <v>143</v>
      </c>
      <c r="M26" s="8" t="str">
        <f t="shared" si="0"/>
        <v>RADIADOR INFERIOR</v>
      </c>
      <c r="N26" s="19" t="s">
        <v>217</v>
      </c>
      <c r="O26" s="8"/>
      <c r="P26" s="8"/>
      <c r="Q26" s="8" t="s">
        <v>166</v>
      </c>
      <c r="R26" s="8"/>
    </row>
    <row r="27" spans="1:18" ht="30" x14ac:dyDescent="0.25">
      <c r="A27" s="8">
        <v>24</v>
      </c>
      <c r="B27" s="9" t="s">
        <v>134</v>
      </c>
      <c r="C27" s="9" t="s">
        <v>135</v>
      </c>
      <c r="D27" s="8" t="s">
        <v>89</v>
      </c>
      <c r="E27" s="8"/>
      <c r="F27" s="10"/>
      <c r="G27" s="10"/>
      <c r="H27" s="11"/>
      <c r="I27" s="11"/>
      <c r="J27" s="11"/>
      <c r="K27" s="8" t="s">
        <v>136</v>
      </c>
      <c r="L27" s="8" t="s">
        <v>145</v>
      </c>
      <c r="M27" s="8" t="str">
        <f t="shared" si="0"/>
        <v>RADIADOR SUPERIOR</v>
      </c>
      <c r="N27" s="19" t="s">
        <v>218</v>
      </c>
      <c r="O27" s="8"/>
      <c r="P27" s="8"/>
      <c r="Q27" s="8" t="s">
        <v>167</v>
      </c>
      <c r="R27" s="8"/>
    </row>
    <row r="28" spans="1:18" ht="45" x14ac:dyDescent="0.25">
      <c r="A28" s="8">
        <v>25</v>
      </c>
      <c r="B28" s="9" t="s">
        <v>134</v>
      </c>
      <c r="C28" s="9" t="s">
        <v>135</v>
      </c>
      <c r="D28" s="8" t="s">
        <v>90</v>
      </c>
      <c r="E28" s="8"/>
      <c r="F28" s="10"/>
      <c r="G28" s="10"/>
      <c r="H28" s="11"/>
      <c r="I28" s="11"/>
      <c r="J28" s="11"/>
      <c r="K28" s="8" t="s">
        <v>136</v>
      </c>
      <c r="L28" s="8" t="s">
        <v>139</v>
      </c>
      <c r="M28" s="8" t="str">
        <f t="shared" si="0"/>
        <v>CALEFACCION</v>
      </c>
      <c r="N28" s="19" t="s">
        <v>219</v>
      </c>
      <c r="O28" s="8"/>
      <c r="P28" s="8"/>
      <c r="Q28" s="8" t="s">
        <v>168</v>
      </c>
      <c r="R28" s="8"/>
    </row>
    <row r="29" spans="1:18" ht="30" x14ac:dyDescent="0.25">
      <c r="A29" s="8">
        <v>26</v>
      </c>
      <c r="B29" s="9" t="s">
        <v>134</v>
      </c>
      <c r="C29" s="9" t="s">
        <v>135</v>
      </c>
      <c r="D29" s="8" t="s">
        <v>94</v>
      </c>
      <c r="E29" s="8"/>
      <c r="F29" s="10"/>
      <c r="G29" s="10"/>
      <c r="H29" s="11"/>
      <c r="I29" s="11"/>
      <c r="J29" s="11"/>
      <c r="K29" s="8" t="s">
        <v>136</v>
      </c>
      <c r="L29" s="8" t="s">
        <v>145</v>
      </c>
      <c r="M29" s="8" t="str">
        <f t="shared" si="0"/>
        <v>RADIADOR SUPERIOR</v>
      </c>
      <c r="N29" s="19" t="s">
        <v>220</v>
      </c>
      <c r="O29" s="8"/>
      <c r="P29" s="8"/>
      <c r="Q29" s="8" t="s">
        <v>169</v>
      </c>
      <c r="R29" s="8"/>
    </row>
    <row r="30" spans="1:18" ht="30" x14ac:dyDescent="0.25">
      <c r="A30" s="8">
        <v>27</v>
      </c>
      <c r="B30" s="9" t="s">
        <v>134</v>
      </c>
      <c r="C30" s="9" t="s">
        <v>135</v>
      </c>
      <c r="D30" s="8" t="s">
        <v>96</v>
      </c>
      <c r="E30" s="8"/>
      <c r="F30" s="10"/>
      <c r="G30" s="10"/>
      <c r="H30" s="11"/>
      <c r="I30" s="11"/>
      <c r="J30" s="11"/>
      <c r="K30" s="8" t="s">
        <v>136</v>
      </c>
      <c r="L30" s="8" t="s">
        <v>143</v>
      </c>
      <c r="M30" s="8" t="str">
        <f t="shared" si="0"/>
        <v>RADIADOR INFERIOR</v>
      </c>
      <c r="N30" s="19" t="s">
        <v>220</v>
      </c>
      <c r="O30" s="8"/>
      <c r="P30" s="8"/>
      <c r="Q30" s="8" t="s">
        <v>170</v>
      </c>
      <c r="R30" s="8"/>
    </row>
    <row r="31" spans="1:18" ht="30" x14ac:dyDescent="0.25">
      <c r="A31" s="8">
        <v>28</v>
      </c>
      <c r="B31" s="9" t="s">
        <v>134</v>
      </c>
      <c r="C31" s="9" t="s">
        <v>135</v>
      </c>
      <c r="D31" s="8" t="s">
        <v>99</v>
      </c>
      <c r="E31" s="8"/>
      <c r="F31" s="10"/>
      <c r="G31" s="10"/>
      <c r="H31" s="11"/>
      <c r="I31" s="11"/>
      <c r="J31" s="11"/>
      <c r="K31" s="8" t="s">
        <v>136</v>
      </c>
      <c r="L31" s="8" t="s">
        <v>145</v>
      </c>
      <c r="M31" s="8" t="str">
        <f t="shared" si="0"/>
        <v>RADIADOR SUPERIOR</v>
      </c>
      <c r="N31" s="19" t="s">
        <v>221</v>
      </c>
      <c r="O31" s="8"/>
      <c r="P31" s="8"/>
      <c r="Q31" s="8" t="s">
        <v>171</v>
      </c>
      <c r="R31" s="8"/>
    </row>
    <row r="32" spans="1:18" ht="30" x14ac:dyDescent="0.25">
      <c r="A32" s="8">
        <v>29</v>
      </c>
      <c r="B32" s="9" t="s">
        <v>134</v>
      </c>
      <c r="C32" s="9" t="s">
        <v>135</v>
      </c>
      <c r="D32" s="8" t="s">
        <v>101</v>
      </c>
      <c r="E32" s="8"/>
      <c r="F32" s="10"/>
      <c r="G32" s="10"/>
      <c r="H32" s="11"/>
      <c r="I32" s="11"/>
      <c r="J32" s="11"/>
      <c r="K32" s="8" t="s">
        <v>136</v>
      </c>
      <c r="L32" s="8" t="s">
        <v>143</v>
      </c>
      <c r="M32" s="8" t="str">
        <f t="shared" si="0"/>
        <v>RADIADOR INFERIOR</v>
      </c>
      <c r="N32" s="19" t="s">
        <v>221</v>
      </c>
      <c r="O32" s="8"/>
      <c r="P32" s="8"/>
      <c r="Q32" s="8" t="s">
        <v>172</v>
      </c>
      <c r="R32" s="8"/>
    </row>
    <row r="33" spans="1:18" ht="30" x14ac:dyDescent="0.25">
      <c r="A33" s="8">
        <v>30</v>
      </c>
      <c r="B33" s="9" t="s">
        <v>134</v>
      </c>
      <c r="C33" s="9" t="s">
        <v>135</v>
      </c>
      <c r="D33" s="8" t="s">
        <v>102</v>
      </c>
      <c r="E33" s="8"/>
      <c r="F33" s="10"/>
      <c r="G33" s="10"/>
      <c r="H33" s="11"/>
      <c r="I33" s="11"/>
      <c r="J33" s="11"/>
      <c r="K33" s="8" t="s">
        <v>136</v>
      </c>
      <c r="L33" s="8" t="s">
        <v>143</v>
      </c>
      <c r="M33" s="8" t="str">
        <f t="shared" si="0"/>
        <v>RADIADOR INFERIOR</v>
      </c>
      <c r="N33" s="19" t="s">
        <v>222</v>
      </c>
      <c r="O33" s="8"/>
      <c r="P33" s="8"/>
      <c r="Q33" s="8" t="s">
        <v>173</v>
      </c>
      <c r="R33" s="8"/>
    </row>
    <row r="34" spans="1:18" ht="30" x14ac:dyDescent="0.25">
      <c r="A34" s="8">
        <v>31</v>
      </c>
      <c r="B34" s="9" t="s">
        <v>134</v>
      </c>
      <c r="C34" s="9" t="s">
        <v>135</v>
      </c>
      <c r="D34" s="8" t="s">
        <v>104</v>
      </c>
      <c r="E34" s="8"/>
      <c r="F34" s="10"/>
      <c r="G34" s="10"/>
      <c r="H34" s="11"/>
      <c r="I34" s="11"/>
      <c r="J34" s="11"/>
      <c r="K34" s="8" t="s">
        <v>136</v>
      </c>
      <c r="L34" s="8" t="s">
        <v>145</v>
      </c>
      <c r="M34" s="8" t="str">
        <f t="shared" si="0"/>
        <v>RADIADOR SUPERIOR</v>
      </c>
      <c r="N34" s="19" t="s">
        <v>223</v>
      </c>
      <c r="O34" s="8"/>
      <c r="P34" s="8"/>
      <c r="Q34" s="8" t="s">
        <v>174</v>
      </c>
      <c r="R34" s="8"/>
    </row>
    <row r="35" spans="1:18" x14ac:dyDescent="0.25">
      <c r="A35" s="8">
        <v>32</v>
      </c>
      <c r="B35" s="9" t="s">
        <v>134</v>
      </c>
      <c r="C35" s="9" t="s">
        <v>135</v>
      </c>
      <c r="D35" s="8" t="s">
        <v>106</v>
      </c>
      <c r="E35" s="8"/>
      <c r="F35" s="10"/>
      <c r="G35" s="10"/>
      <c r="H35" s="11"/>
      <c r="I35" s="11"/>
      <c r="J35" s="11"/>
      <c r="K35" s="8" t="s">
        <v>136</v>
      </c>
      <c r="L35" s="8" t="s">
        <v>139</v>
      </c>
      <c r="M35" s="8" t="str">
        <f t="shared" si="0"/>
        <v>CALEFACCION</v>
      </c>
      <c r="N35" s="19" t="s">
        <v>224</v>
      </c>
      <c r="O35" s="8"/>
      <c r="P35" s="8"/>
      <c r="Q35" s="8" t="s">
        <v>175</v>
      </c>
      <c r="R35" s="8"/>
    </row>
    <row r="36" spans="1:18" ht="30" x14ac:dyDescent="0.25">
      <c r="A36" s="8">
        <v>33</v>
      </c>
      <c r="B36" s="9" t="s">
        <v>134</v>
      </c>
      <c r="C36" s="9" t="s">
        <v>135</v>
      </c>
      <c r="D36" s="8" t="s">
        <v>108</v>
      </c>
      <c r="E36" s="8"/>
      <c r="F36" s="10"/>
      <c r="G36" s="10"/>
      <c r="H36" s="11"/>
      <c r="I36" s="11"/>
      <c r="J36" s="11"/>
      <c r="K36" s="8" t="s">
        <v>136</v>
      </c>
      <c r="L36" s="8" t="s">
        <v>145</v>
      </c>
      <c r="M36" s="8" t="str">
        <f t="shared" si="0"/>
        <v>RADIADOR SUPERIOR</v>
      </c>
      <c r="N36" s="19" t="s">
        <v>225</v>
      </c>
      <c r="O36" s="8"/>
      <c r="P36" s="8"/>
      <c r="Q36" s="8" t="s">
        <v>176</v>
      </c>
      <c r="R36" s="8"/>
    </row>
    <row r="37" spans="1:18" ht="30" x14ac:dyDescent="0.25">
      <c r="A37" s="8">
        <v>34</v>
      </c>
      <c r="B37" s="9" t="s">
        <v>134</v>
      </c>
      <c r="C37" s="9" t="s">
        <v>135</v>
      </c>
      <c r="D37" s="8" t="s">
        <v>111</v>
      </c>
      <c r="E37" s="8"/>
      <c r="F37" s="10"/>
      <c r="G37" s="10"/>
      <c r="H37" s="11"/>
      <c r="I37" s="11"/>
      <c r="J37" s="11"/>
      <c r="K37" s="8" t="s">
        <v>136</v>
      </c>
      <c r="L37" s="8" t="s">
        <v>143</v>
      </c>
      <c r="M37" s="8" t="str">
        <f t="shared" si="0"/>
        <v>RADIADOR INFERIOR</v>
      </c>
      <c r="N37" s="19" t="s">
        <v>226</v>
      </c>
      <c r="O37" s="8"/>
      <c r="P37" s="8"/>
      <c r="Q37" s="8" t="s">
        <v>177</v>
      </c>
      <c r="R37" s="8"/>
    </row>
  </sheetData>
  <mergeCells count="2">
    <mergeCell ref="A1:J1"/>
    <mergeCell ref="K1:Q1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rDescripciones">
                <anchor moveWithCells="1" sizeWithCells="1">
                  <from>
                    <xdr:col>2</xdr:col>
                    <xdr:colOff>657225</xdr:colOff>
                    <xdr:row>0</xdr:row>
                    <xdr:rowOff>466725</xdr:rowOff>
                  </from>
                  <to>
                    <xdr:col>4</xdr:col>
                    <xdr:colOff>76200</xdr:colOff>
                    <xdr:row>0</xdr:row>
                    <xdr:rowOff>790575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2C63E-ED1C-4E67-8AB3-7944847D02FC}">
  <sheetPr codeName="Hoja2"/>
  <dimension ref="A1:I67"/>
  <sheetViews>
    <sheetView showGridLines="0" tabSelected="1" topLeftCell="A46" workbookViewId="0">
      <selection activeCell="A68" sqref="A68"/>
    </sheetView>
  </sheetViews>
  <sheetFormatPr baseColWidth="10" defaultRowHeight="15" x14ac:dyDescent="0.25"/>
  <cols>
    <col min="1" max="1" width="13.140625" bestFit="1" customWidth="1"/>
    <col min="2" max="2" width="10.5703125" bestFit="1" customWidth="1"/>
    <col min="3" max="3" width="20.28515625" bestFit="1" customWidth="1"/>
    <col min="4" max="4" width="11.28515625" bestFit="1" customWidth="1"/>
    <col min="5" max="5" width="11.28515625" customWidth="1"/>
    <col min="6" max="6" width="8.85546875" bestFit="1" customWidth="1"/>
    <col min="7" max="7" width="9.140625" bestFit="1" customWidth="1"/>
    <col min="8" max="8" width="15.85546875" customWidth="1"/>
  </cols>
  <sheetData>
    <row r="1" spans="1:8" x14ac:dyDescent="0.25">
      <c r="A1" s="1" t="s">
        <v>178</v>
      </c>
      <c r="B1" s="1" t="s">
        <v>0</v>
      </c>
      <c r="C1" s="1" t="s">
        <v>1</v>
      </c>
      <c r="D1" s="1" t="s">
        <v>2</v>
      </c>
      <c r="E1" s="1" t="s">
        <v>179</v>
      </c>
      <c r="F1" s="1" t="s">
        <v>3</v>
      </c>
      <c r="G1" s="17" t="s">
        <v>4</v>
      </c>
      <c r="H1" s="16" t="s">
        <v>129</v>
      </c>
    </row>
    <row r="2" spans="1:8" x14ac:dyDescent="0.25">
      <c r="A2" s="2" t="s">
        <v>5</v>
      </c>
      <c r="B2" s="2" t="s">
        <v>6</v>
      </c>
      <c r="C2" s="2" t="s">
        <v>7</v>
      </c>
      <c r="D2" s="2"/>
      <c r="E2" s="2"/>
      <c r="F2" s="2">
        <v>2016</v>
      </c>
      <c r="G2" s="2">
        <v>2016</v>
      </c>
      <c r="H2" s="18"/>
    </row>
    <row r="3" spans="1:8" x14ac:dyDescent="0.25">
      <c r="A3" s="2" t="s">
        <v>8</v>
      </c>
      <c r="B3" s="2" t="s">
        <v>9</v>
      </c>
      <c r="C3" s="2" t="s">
        <v>10</v>
      </c>
      <c r="D3" s="2" t="s">
        <v>180</v>
      </c>
      <c r="E3" s="2"/>
      <c r="F3" s="2">
        <v>2011</v>
      </c>
      <c r="G3" s="2">
        <v>2018</v>
      </c>
      <c r="H3" s="18"/>
    </row>
    <row r="4" spans="1:8" x14ac:dyDescent="0.25">
      <c r="A4" s="2" t="s">
        <v>11</v>
      </c>
      <c r="B4" s="2" t="s">
        <v>12</v>
      </c>
      <c r="C4" s="2" t="s">
        <v>13</v>
      </c>
      <c r="D4" s="2"/>
      <c r="E4" s="2"/>
      <c r="F4" s="2">
        <v>2013</v>
      </c>
      <c r="G4" s="2">
        <v>2017</v>
      </c>
      <c r="H4" s="18"/>
    </row>
    <row r="5" spans="1:8" x14ac:dyDescent="0.25">
      <c r="A5" s="2" t="s">
        <v>14</v>
      </c>
      <c r="B5" s="2" t="s">
        <v>12</v>
      </c>
      <c r="C5" s="2" t="s">
        <v>15</v>
      </c>
      <c r="D5" s="2"/>
      <c r="E5" s="2"/>
      <c r="F5" s="2">
        <v>1988</v>
      </c>
      <c r="G5" s="2">
        <v>2000</v>
      </c>
      <c r="H5" s="18"/>
    </row>
    <row r="6" spans="1:8" x14ac:dyDescent="0.25">
      <c r="A6" s="2" t="s">
        <v>14</v>
      </c>
      <c r="B6" s="2" t="s">
        <v>12</v>
      </c>
      <c r="C6" s="2" t="s">
        <v>13</v>
      </c>
      <c r="D6" s="2"/>
      <c r="E6" s="2"/>
      <c r="F6" s="2">
        <v>1990</v>
      </c>
      <c r="G6" s="2">
        <v>1993</v>
      </c>
      <c r="H6" s="18"/>
    </row>
    <row r="7" spans="1:8" x14ac:dyDescent="0.25">
      <c r="A7" s="2" t="s">
        <v>14</v>
      </c>
      <c r="B7" s="2" t="s">
        <v>12</v>
      </c>
      <c r="C7" s="2" t="s">
        <v>16</v>
      </c>
      <c r="D7" s="2"/>
      <c r="E7" s="2"/>
      <c r="F7" s="2">
        <v>1997</v>
      </c>
      <c r="G7" s="2">
        <v>2001</v>
      </c>
      <c r="H7" s="18"/>
    </row>
    <row r="8" spans="1:8" x14ac:dyDescent="0.25">
      <c r="A8" s="2" t="s">
        <v>17</v>
      </c>
      <c r="B8" s="2" t="s">
        <v>12</v>
      </c>
      <c r="C8" s="2" t="s">
        <v>15</v>
      </c>
      <c r="D8" s="2"/>
      <c r="E8" s="2"/>
      <c r="F8" s="2">
        <v>1992</v>
      </c>
      <c r="G8" s="2">
        <v>2000</v>
      </c>
      <c r="H8" s="18"/>
    </row>
    <row r="9" spans="1:8" x14ac:dyDescent="0.25">
      <c r="A9" s="2" t="s">
        <v>17</v>
      </c>
      <c r="B9" s="2" t="s">
        <v>18</v>
      </c>
      <c r="C9" s="2" t="s">
        <v>19</v>
      </c>
      <c r="D9" s="2"/>
      <c r="E9" s="2"/>
      <c r="F9" s="2">
        <v>1997</v>
      </c>
      <c r="G9" s="2">
        <v>2002</v>
      </c>
      <c r="H9" s="18"/>
    </row>
    <row r="10" spans="1:8" x14ac:dyDescent="0.25">
      <c r="A10" s="2" t="s">
        <v>20</v>
      </c>
      <c r="B10" s="2" t="s">
        <v>21</v>
      </c>
      <c r="C10" s="2" t="s">
        <v>22</v>
      </c>
      <c r="D10" s="2" t="s">
        <v>181</v>
      </c>
      <c r="E10" s="2"/>
      <c r="F10" s="2">
        <v>2015</v>
      </c>
      <c r="G10" s="2">
        <v>2015</v>
      </c>
      <c r="H10" s="18"/>
    </row>
    <row r="11" spans="1:8" x14ac:dyDescent="0.25">
      <c r="A11" s="2" t="s">
        <v>23</v>
      </c>
      <c r="B11" s="2" t="s">
        <v>21</v>
      </c>
      <c r="C11" s="2" t="s">
        <v>22</v>
      </c>
      <c r="D11" s="2" t="s">
        <v>181</v>
      </c>
      <c r="E11" s="2"/>
      <c r="F11" s="2">
        <v>2015</v>
      </c>
      <c r="G11" s="2">
        <v>2015</v>
      </c>
      <c r="H11" s="18"/>
    </row>
    <row r="12" spans="1:8" x14ac:dyDescent="0.25">
      <c r="A12" s="2" t="s">
        <v>24</v>
      </c>
      <c r="B12" s="2" t="s">
        <v>21</v>
      </c>
      <c r="C12" s="2" t="s">
        <v>25</v>
      </c>
      <c r="D12" s="2" t="s">
        <v>182</v>
      </c>
      <c r="E12" s="2"/>
      <c r="F12" s="2">
        <v>2008</v>
      </c>
      <c r="G12" s="2">
        <v>2018</v>
      </c>
      <c r="H12" s="18"/>
    </row>
    <row r="13" spans="1:8" x14ac:dyDescent="0.25">
      <c r="A13" s="2" t="s">
        <v>26</v>
      </c>
      <c r="B13" s="2" t="s">
        <v>21</v>
      </c>
      <c r="C13" s="2" t="s">
        <v>27</v>
      </c>
      <c r="D13" s="2" t="s">
        <v>183</v>
      </c>
      <c r="E13" s="2"/>
      <c r="F13" s="2">
        <v>2001</v>
      </c>
      <c r="G13" s="2">
        <v>2006</v>
      </c>
      <c r="H13" s="18"/>
    </row>
    <row r="14" spans="1:8" x14ac:dyDescent="0.25">
      <c r="A14" s="2" t="s">
        <v>28</v>
      </c>
      <c r="B14" s="2" t="s">
        <v>21</v>
      </c>
      <c r="C14" s="2" t="s">
        <v>27</v>
      </c>
      <c r="D14" s="2" t="s">
        <v>184</v>
      </c>
      <c r="E14" s="2"/>
      <c r="F14" s="2">
        <v>2006</v>
      </c>
      <c r="G14" s="2">
        <v>2012</v>
      </c>
      <c r="H14" s="18"/>
    </row>
    <row r="15" spans="1:8" x14ac:dyDescent="0.25">
      <c r="A15" s="2" t="s">
        <v>29</v>
      </c>
      <c r="B15" s="2" t="s">
        <v>21</v>
      </c>
      <c r="C15" s="2" t="s">
        <v>27</v>
      </c>
      <c r="D15" s="2" t="s">
        <v>185</v>
      </c>
      <c r="E15" s="2"/>
      <c r="F15" s="2">
        <v>2005</v>
      </c>
      <c r="G15" s="2">
        <v>2012</v>
      </c>
      <c r="H15" s="18"/>
    </row>
    <row r="16" spans="1:8" x14ac:dyDescent="0.25">
      <c r="A16" s="2" t="s">
        <v>30</v>
      </c>
      <c r="B16" s="2" t="s">
        <v>21</v>
      </c>
      <c r="C16" s="2" t="s">
        <v>27</v>
      </c>
      <c r="D16" s="2" t="s">
        <v>185</v>
      </c>
      <c r="E16" s="2"/>
      <c r="F16" s="2">
        <v>2013</v>
      </c>
      <c r="G16" s="2">
        <v>2020</v>
      </c>
      <c r="H16" s="18"/>
    </row>
    <row r="17" spans="1:9" x14ac:dyDescent="0.25">
      <c r="A17" s="2" t="s">
        <v>31</v>
      </c>
      <c r="B17" s="2" t="s">
        <v>21</v>
      </c>
      <c r="C17" s="2" t="s">
        <v>32</v>
      </c>
      <c r="D17" s="2" t="s">
        <v>186</v>
      </c>
      <c r="E17" s="2"/>
      <c r="F17" s="2">
        <v>2014</v>
      </c>
      <c r="G17" s="2">
        <v>2017</v>
      </c>
      <c r="H17" s="18"/>
    </row>
    <row r="18" spans="1:9" x14ac:dyDescent="0.25">
      <c r="A18" s="2" t="s">
        <v>33</v>
      </c>
      <c r="B18" s="2" t="s">
        <v>34</v>
      </c>
      <c r="C18" s="2" t="s">
        <v>35</v>
      </c>
      <c r="D18" s="2" t="s">
        <v>187</v>
      </c>
      <c r="E18" s="2"/>
      <c r="F18" s="2">
        <v>2009</v>
      </c>
      <c r="G18" s="2">
        <v>2013</v>
      </c>
      <c r="H18" s="18"/>
    </row>
    <row r="19" spans="1:9" x14ac:dyDescent="0.25">
      <c r="A19" s="2" t="s">
        <v>36</v>
      </c>
      <c r="B19" s="2" t="s">
        <v>34</v>
      </c>
      <c r="C19" s="2" t="s">
        <v>35</v>
      </c>
      <c r="D19" s="2" t="s">
        <v>187</v>
      </c>
      <c r="E19" s="2"/>
      <c r="F19" s="2">
        <v>2009</v>
      </c>
      <c r="G19" s="2">
        <v>2013</v>
      </c>
      <c r="H19" s="18"/>
    </row>
    <row r="20" spans="1:9" x14ac:dyDescent="0.25">
      <c r="A20" s="2" t="s">
        <v>37</v>
      </c>
      <c r="B20" s="2" t="s">
        <v>34</v>
      </c>
      <c r="C20" s="2" t="s">
        <v>38</v>
      </c>
      <c r="D20" s="2" t="s">
        <v>188</v>
      </c>
      <c r="E20" s="2"/>
      <c r="F20" s="2">
        <v>2022</v>
      </c>
      <c r="G20" s="2">
        <v>2025</v>
      </c>
      <c r="H20" s="18"/>
    </row>
    <row r="21" spans="1:9" x14ac:dyDescent="0.25">
      <c r="A21" s="2" t="s">
        <v>39</v>
      </c>
      <c r="B21" s="2" t="s">
        <v>34</v>
      </c>
      <c r="C21" s="2" t="s">
        <v>38</v>
      </c>
      <c r="D21" s="2" t="s">
        <v>188</v>
      </c>
      <c r="E21" s="2"/>
      <c r="F21" s="2">
        <v>2022</v>
      </c>
      <c r="G21" s="2">
        <v>2025</v>
      </c>
      <c r="H21" s="18"/>
    </row>
    <row r="22" spans="1:9" x14ac:dyDescent="0.25">
      <c r="A22" s="2" t="s">
        <v>40</v>
      </c>
      <c r="B22" s="2" t="s">
        <v>41</v>
      </c>
      <c r="C22" s="2" t="s">
        <v>42</v>
      </c>
      <c r="D22" s="2"/>
      <c r="E22" s="2"/>
      <c r="F22" s="2">
        <v>2003</v>
      </c>
      <c r="G22" s="2">
        <v>2005</v>
      </c>
      <c r="H22" s="18"/>
    </row>
    <row r="23" spans="1:9" x14ac:dyDescent="0.25">
      <c r="A23" s="2" t="s">
        <v>43</v>
      </c>
      <c r="B23" s="2" t="s">
        <v>41</v>
      </c>
      <c r="C23" s="2" t="s">
        <v>42</v>
      </c>
      <c r="D23" s="2"/>
      <c r="E23" s="2"/>
      <c r="F23" s="2">
        <v>2003</v>
      </c>
      <c r="G23" s="2">
        <v>2013</v>
      </c>
      <c r="H23" s="18"/>
    </row>
    <row r="24" spans="1:9" x14ac:dyDescent="0.25">
      <c r="A24" s="2" t="s">
        <v>43</v>
      </c>
      <c r="B24" s="2" t="s">
        <v>41</v>
      </c>
      <c r="C24" s="2" t="s">
        <v>44</v>
      </c>
      <c r="D24" s="2"/>
      <c r="E24" s="2"/>
      <c r="F24" s="2">
        <v>2004</v>
      </c>
      <c r="G24" s="2">
        <v>2010</v>
      </c>
      <c r="H24" s="18"/>
    </row>
    <row r="25" spans="1:9" x14ac:dyDescent="0.25">
      <c r="A25" s="2" t="s">
        <v>43</v>
      </c>
      <c r="B25" s="2" t="s">
        <v>41</v>
      </c>
      <c r="C25" s="2" t="s">
        <v>45</v>
      </c>
      <c r="D25" s="2"/>
      <c r="E25" s="2"/>
      <c r="F25" s="2">
        <v>2006</v>
      </c>
      <c r="G25" s="2">
        <v>2015</v>
      </c>
      <c r="H25" s="18"/>
    </row>
    <row r="26" spans="1:9" x14ac:dyDescent="0.25">
      <c r="A26" s="2" t="s">
        <v>46</v>
      </c>
      <c r="B26" s="2" t="s">
        <v>41</v>
      </c>
      <c r="C26" s="2" t="s">
        <v>45</v>
      </c>
      <c r="D26" s="2"/>
      <c r="E26" s="2"/>
      <c r="F26" s="2">
        <v>2006</v>
      </c>
      <c r="G26" s="2">
        <v>2010</v>
      </c>
      <c r="H26" s="18"/>
    </row>
    <row r="27" spans="1:9" x14ac:dyDescent="0.25">
      <c r="A27" s="2" t="s">
        <v>47</v>
      </c>
      <c r="B27" s="2" t="s">
        <v>41</v>
      </c>
      <c r="C27" s="2" t="s">
        <v>48</v>
      </c>
      <c r="D27" s="2"/>
      <c r="E27" s="2"/>
      <c r="F27" s="2">
        <v>1993</v>
      </c>
      <c r="G27" s="2">
        <v>2002</v>
      </c>
      <c r="H27" s="18"/>
    </row>
    <row r="28" spans="1:9" x14ac:dyDescent="0.25">
      <c r="A28" s="2" t="s">
        <v>47</v>
      </c>
      <c r="B28" s="2" t="s">
        <v>41</v>
      </c>
      <c r="C28" s="2" t="s">
        <v>49</v>
      </c>
      <c r="D28" s="2"/>
      <c r="E28" s="2"/>
      <c r="F28" s="2">
        <v>1993</v>
      </c>
      <c r="G28" s="2">
        <v>1997</v>
      </c>
      <c r="H28" s="18"/>
    </row>
    <row r="29" spans="1:9" x14ac:dyDescent="0.25">
      <c r="A29" s="2" t="s">
        <v>50</v>
      </c>
      <c r="B29" s="2" t="s">
        <v>41</v>
      </c>
      <c r="C29" s="2" t="s">
        <v>44</v>
      </c>
      <c r="D29" s="2"/>
      <c r="E29" s="2"/>
      <c r="F29" s="2">
        <v>2004</v>
      </c>
      <c r="G29" s="2">
        <v>2009</v>
      </c>
      <c r="H29" s="18"/>
      <c r="I29" t="s">
        <v>196</v>
      </c>
    </row>
    <row r="30" spans="1:9" x14ac:dyDescent="0.25">
      <c r="A30" s="2" t="s">
        <v>51</v>
      </c>
      <c r="B30" s="2" t="s">
        <v>52</v>
      </c>
      <c r="C30" s="2" t="s">
        <v>53</v>
      </c>
      <c r="D30" s="2"/>
      <c r="E30" s="2"/>
      <c r="F30" s="2">
        <v>2004</v>
      </c>
      <c r="G30" s="2">
        <v>2012</v>
      </c>
      <c r="H30" s="18"/>
    </row>
    <row r="31" spans="1:9" x14ac:dyDescent="0.25">
      <c r="A31" s="2" t="s">
        <v>51</v>
      </c>
      <c r="B31" s="2" t="s">
        <v>52</v>
      </c>
      <c r="C31" s="2" t="s">
        <v>54</v>
      </c>
      <c r="D31" s="2"/>
      <c r="E31" s="2"/>
      <c r="F31" s="2">
        <v>2008</v>
      </c>
      <c r="G31" s="2">
        <v>2012</v>
      </c>
      <c r="H31" s="18"/>
    </row>
    <row r="32" spans="1:9" x14ac:dyDescent="0.25">
      <c r="A32" s="2" t="s">
        <v>55</v>
      </c>
      <c r="B32" s="2" t="s">
        <v>52</v>
      </c>
      <c r="C32" s="2" t="s">
        <v>56</v>
      </c>
      <c r="D32" s="2" t="s">
        <v>182</v>
      </c>
      <c r="E32" s="2"/>
      <c r="F32" s="2">
        <v>2006</v>
      </c>
      <c r="G32" s="2">
        <v>2015</v>
      </c>
      <c r="H32" s="18"/>
    </row>
    <row r="33" spans="1:8" x14ac:dyDescent="0.25">
      <c r="A33" s="2" t="s">
        <v>55</v>
      </c>
      <c r="B33" s="2" t="s">
        <v>52</v>
      </c>
      <c r="C33" s="2" t="s">
        <v>57</v>
      </c>
      <c r="D33" s="2" t="s">
        <v>182</v>
      </c>
      <c r="E33" s="2"/>
      <c r="F33" s="2">
        <v>2006</v>
      </c>
      <c r="G33" s="2">
        <v>2015</v>
      </c>
      <c r="H33" s="18"/>
    </row>
    <row r="34" spans="1:8" x14ac:dyDescent="0.25">
      <c r="A34" s="2" t="s">
        <v>58</v>
      </c>
      <c r="B34" s="2" t="s">
        <v>52</v>
      </c>
      <c r="C34" s="2" t="s">
        <v>59</v>
      </c>
      <c r="D34" s="2" t="s">
        <v>182</v>
      </c>
      <c r="E34" s="2"/>
      <c r="F34" s="2">
        <v>2003</v>
      </c>
      <c r="G34" s="2">
        <v>2008</v>
      </c>
      <c r="H34" s="18"/>
    </row>
    <row r="35" spans="1:8" x14ac:dyDescent="0.25">
      <c r="A35" s="2" t="s">
        <v>60</v>
      </c>
      <c r="B35" s="2" t="s">
        <v>52</v>
      </c>
      <c r="C35" s="2" t="s">
        <v>56</v>
      </c>
      <c r="D35" s="2" t="s">
        <v>183</v>
      </c>
      <c r="E35" s="2"/>
      <c r="F35" s="2">
        <v>2020</v>
      </c>
      <c r="G35" s="2">
        <v>2025</v>
      </c>
      <c r="H35" s="18"/>
    </row>
    <row r="36" spans="1:8" x14ac:dyDescent="0.25">
      <c r="A36" s="2" t="s">
        <v>61</v>
      </c>
      <c r="B36" s="2" t="s">
        <v>62</v>
      </c>
      <c r="C36" s="2" t="s">
        <v>63</v>
      </c>
      <c r="D36" s="2"/>
      <c r="E36" s="2"/>
      <c r="F36" s="2">
        <v>2001</v>
      </c>
      <c r="G36" s="2">
        <v>2004</v>
      </c>
      <c r="H36" s="18"/>
    </row>
    <row r="37" spans="1:8" x14ac:dyDescent="0.25">
      <c r="A37" s="2" t="s">
        <v>61</v>
      </c>
      <c r="B37" s="2" t="s">
        <v>62</v>
      </c>
      <c r="C37" s="2" t="s">
        <v>64</v>
      </c>
      <c r="D37" s="2"/>
      <c r="E37" s="2"/>
      <c r="F37" s="2">
        <v>1985</v>
      </c>
      <c r="G37" s="2">
        <v>1985</v>
      </c>
      <c r="H37" s="18"/>
    </row>
    <row r="38" spans="1:8" x14ac:dyDescent="0.25">
      <c r="A38" s="2" t="s">
        <v>61</v>
      </c>
      <c r="B38" s="2" t="s">
        <v>62</v>
      </c>
      <c r="C38" s="2" t="s">
        <v>64</v>
      </c>
      <c r="D38" s="2"/>
      <c r="E38" s="2"/>
      <c r="F38" s="2">
        <v>2009</v>
      </c>
      <c r="G38" s="2">
        <v>2014</v>
      </c>
      <c r="H38" s="18"/>
    </row>
    <row r="39" spans="1:8" x14ac:dyDescent="0.25">
      <c r="A39" s="2" t="s">
        <v>65</v>
      </c>
      <c r="B39" s="2" t="s">
        <v>62</v>
      </c>
      <c r="C39" s="2" t="s">
        <v>66</v>
      </c>
      <c r="D39" s="2"/>
      <c r="E39" s="2"/>
      <c r="F39" s="2">
        <v>2002</v>
      </c>
      <c r="G39" s="2">
        <v>2006</v>
      </c>
      <c r="H39" s="18"/>
    </row>
    <row r="40" spans="1:8" x14ac:dyDescent="0.25">
      <c r="A40" s="2" t="s">
        <v>67</v>
      </c>
      <c r="B40" s="2" t="s">
        <v>62</v>
      </c>
      <c r="C40" s="2" t="s">
        <v>66</v>
      </c>
      <c r="D40" s="2"/>
      <c r="E40" s="2"/>
      <c r="F40" s="2">
        <v>1991</v>
      </c>
      <c r="G40" s="2">
        <v>1999</v>
      </c>
      <c r="H40" s="18"/>
    </row>
    <row r="41" spans="1:8" x14ac:dyDescent="0.25">
      <c r="A41" s="2" t="s">
        <v>67</v>
      </c>
      <c r="B41" s="2" t="s">
        <v>62</v>
      </c>
      <c r="C41" s="2" t="s">
        <v>68</v>
      </c>
      <c r="D41" s="2"/>
      <c r="E41" s="2"/>
      <c r="F41" s="2">
        <v>1991</v>
      </c>
      <c r="G41" s="2">
        <v>1993</v>
      </c>
      <c r="H41" s="18"/>
    </row>
    <row r="42" spans="1:8" x14ac:dyDescent="0.25">
      <c r="A42" s="2" t="s">
        <v>67</v>
      </c>
      <c r="B42" s="2" t="s">
        <v>62</v>
      </c>
      <c r="C42" s="2" t="s">
        <v>69</v>
      </c>
      <c r="D42" s="2"/>
      <c r="E42" s="2"/>
      <c r="F42" s="2">
        <v>1995</v>
      </c>
      <c r="G42" s="2">
        <v>1998</v>
      </c>
      <c r="H42" s="18"/>
    </row>
    <row r="43" spans="1:8" x14ac:dyDescent="0.25">
      <c r="A43" s="2" t="s">
        <v>70</v>
      </c>
      <c r="B43" s="2" t="s">
        <v>62</v>
      </c>
      <c r="C43" s="2" t="s">
        <v>71</v>
      </c>
      <c r="D43" s="2"/>
      <c r="E43" s="2"/>
      <c r="F43" s="2">
        <v>2004</v>
      </c>
      <c r="G43" s="2">
        <v>2099</v>
      </c>
      <c r="H43" s="18"/>
    </row>
    <row r="44" spans="1:8" x14ac:dyDescent="0.25">
      <c r="A44" s="2" t="s">
        <v>72</v>
      </c>
      <c r="B44" s="2" t="s">
        <v>62</v>
      </c>
      <c r="C44" s="2" t="s">
        <v>73</v>
      </c>
      <c r="D44" s="2" t="s">
        <v>189</v>
      </c>
      <c r="E44" s="2"/>
      <c r="F44" s="2">
        <v>2018</v>
      </c>
      <c r="G44" s="2">
        <v>2025</v>
      </c>
      <c r="H44" s="18"/>
    </row>
    <row r="45" spans="1:8" x14ac:dyDescent="0.25">
      <c r="A45" s="2" t="s">
        <v>74</v>
      </c>
      <c r="B45" s="2" t="s">
        <v>62</v>
      </c>
      <c r="C45" s="2" t="s">
        <v>73</v>
      </c>
      <c r="D45" s="2" t="s">
        <v>189</v>
      </c>
      <c r="E45" s="2"/>
      <c r="F45" s="2">
        <v>2018</v>
      </c>
      <c r="G45" s="2">
        <v>2025</v>
      </c>
      <c r="H45" s="18"/>
    </row>
    <row r="46" spans="1:8" x14ac:dyDescent="0.25">
      <c r="A46" s="2" t="s">
        <v>75</v>
      </c>
      <c r="B46" s="2" t="s">
        <v>62</v>
      </c>
      <c r="C46" s="2" t="s">
        <v>76</v>
      </c>
      <c r="D46" s="2" t="s">
        <v>190</v>
      </c>
      <c r="E46" s="2"/>
      <c r="F46" s="2">
        <v>2011</v>
      </c>
      <c r="G46" s="2">
        <v>2017</v>
      </c>
      <c r="H46" s="18"/>
    </row>
    <row r="47" spans="1:8" x14ac:dyDescent="0.25">
      <c r="A47" s="2" t="s">
        <v>75</v>
      </c>
      <c r="B47" s="2" t="s">
        <v>62</v>
      </c>
      <c r="C47" s="2" t="s">
        <v>77</v>
      </c>
      <c r="D47" s="2" t="s">
        <v>190</v>
      </c>
      <c r="E47" s="2"/>
      <c r="F47" s="2">
        <v>2011</v>
      </c>
      <c r="G47" s="2">
        <v>2017</v>
      </c>
      <c r="H47" s="18"/>
    </row>
    <row r="48" spans="1:8" x14ac:dyDescent="0.25">
      <c r="A48" s="2" t="s">
        <v>78</v>
      </c>
      <c r="B48" s="2" t="s">
        <v>62</v>
      </c>
      <c r="C48" s="2" t="s">
        <v>79</v>
      </c>
      <c r="D48" s="2" t="s">
        <v>182</v>
      </c>
      <c r="E48" s="2"/>
      <c r="F48" s="2">
        <v>2015</v>
      </c>
      <c r="G48" s="2">
        <v>2015</v>
      </c>
      <c r="H48" s="18"/>
    </row>
    <row r="49" spans="1:8" x14ac:dyDescent="0.25">
      <c r="A49" s="2" t="s">
        <v>80</v>
      </c>
      <c r="B49" s="2" t="s">
        <v>62</v>
      </c>
      <c r="C49" s="2" t="s">
        <v>79</v>
      </c>
      <c r="D49" s="2" t="s">
        <v>182</v>
      </c>
      <c r="E49" s="2"/>
      <c r="F49" s="2">
        <v>2015</v>
      </c>
      <c r="G49" s="2">
        <v>2015</v>
      </c>
      <c r="H49" s="18"/>
    </row>
    <row r="50" spans="1:8" x14ac:dyDescent="0.25">
      <c r="A50" s="2" t="s">
        <v>81</v>
      </c>
      <c r="B50" s="2" t="s">
        <v>82</v>
      </c>
      <c r="C50" s="2" t="s">
        <v>83</v>
      </c>
      <c r="D50" s="2" t="s">
        <v>190</v>
      </c>
      <c r="E50" s="2"/>
      <c r="F50" s="2">
        <v>2015</v>
      </c>
      <c r="G50" s="2">
        <v>2015</v>
      </c>
      <c r="H50" s="18"/>
    </row>
    <row r="51" spans="1:8" x14ac:dyDescent="0.25">
      <c r="A51" s="2" t="s">
        <v>84</v>
      </c>
      <c r="B51" s="2" t="s">
        <v>85</v>
      </c>
      <c r="C51" s="2" t="s">
        <v>86</v>
      </c>
      <c r="D51" s="2" t="s">
        <v>191</v>
      </c>
      <c r="E51" s="2"/>
      <c r="F51" s="2">
        <v>2018</v>
      </c>
      <c r="G51" s="2">
        <v>2021</v>
      </c>
      <c r="H51" s="18"/>
    </row>
    <row r="52" spans="1:8" x14ac:dyDescent="0.25">
      <c r="A52" s="2" t="s">
        <v>84</v>
      </c>
      <c r="B52" s="2" t="s">
        <v>85</v>
      </c>
      <c r="C52" s="2" t="s">
        <v>87</v>
      </c>
      <c r="D52" s="2" t="s">
        <v>191</v>
      </c>
      <c r="E52" s="2"/>
      <c r="F52" s="2">
        <v>2015</v>
      </c>
      <c r="G52" s="2">
        <v>2022</v>
      </c>
      <c r="H52" s="18"/>
    </row>
    <row r="53" spans="1:8" x14ac:dyDescent="0.25">
      <c r="A53" s="2" t="s">
        <v>84</v>
      </c>
      <c r="B53" s="2" t="s">
        <v>85</v>
      </c>
      <c r="C53" s="2" t="s">
        <v>88</v>
      </c>
      <c r="D53" s="2" t="s">
        <v>191</v>
      </c>
      <c r="E53" s="2"/>
      <c r="F53" s="2">
        <v>2018</v>
      </c>
      <c r="G53" s="2">
        <v>2022</v>
      </c>
      <c r="H53" s="18"/>
    </row>
    <row r="54" spans="1:8" x14ac:dyDescent="0.25">
      <c r="A54" s="2" t="s">
        <v>89</v>
      </c>
      <c r="B54" s="2" t="s">
        <v>85</v>
      </c>
      <c r="C54" s="2" t="s">
        <v>87</v>
      </c>
      <c r="D54" s="2" t="s">
        <v>191</v>
      </c>
      <c r="E54" s="2"/>
      <c r="F54" s="2">
        <v>2015</v>
      </c>
      <c r="G54" s="2">
        <v>2022</v>
      </c>
      <c r="H54" s="18"/>
    </row>
    <row r="55" spans="1:8" x14ac:dyDescent="0.25">
      <c r="A55" s="2" t="s">
        <v>89</v>
      </c>
      <c r="B55" s="2" t="s">
        <v>85</v>
      </c>
      <c r="C55" s="2" t="s">
        <v>88</v>
      </c>
      <c r="D55" s="2" t="s">
        <v>191</v>
      </c>
      <c r="E55" s="2"/>
      <c r="F55" s="2">
        <v>2018</v>
      </c>
      <c r="G55" s="2">
        <v>2022</v>
      </c>
      <c r="H55" s="18"/>
    </row>
    <row r="56" spans="1:8" x14ac:dyDescent="0.25">
      <c r="A56" s="2" t="s">
        <v>90</v>
      </c>
      <c r="B56" s="2" t="s">
        <v>91</v>
      </c>
      <c r="C56" s="2" t="s">
        <v>92</v>
      </c>
      <c r="D56" s="2"/>
      <c r="E56" s="2"/>
      <c r="F56" s="2">
        <v>2003</v>
      </c>
      <c r="G56" s="2">
        <v>2008</v>
      </c>
      <c r="H56" s="18"/>
    </row>
    <row r="57" spans="1:8" x14ac:dyDescent="0.25">
      <c r="A57" s="2" t="s">
        <v>90</v>
      </c>
      <c r="B57" s="2" t="s">
        <v>91</v>
      </c>
      <c r="C57" s="2" t="s">
        <v>93</v>
      </c>
      <c r="D57" s="2"/>
      <c r="E57" s="2"/>
      <c r="F57" s="2">
        <v>2004</v>
      </c>
      <c r="G57" s="2">
        <v>2006</v>
      </c>
      <c r="H57" s="18"/>
    </row>
    <row r="58" spans="1:8" x14ac:dyDescent="0.25">
      <c r="A58" s="2" t="s">
        <v>94</v>
      </c>
      <c r="B58" s="2" t="s">
        <v>91</v>
      </c>
      <c r="C58" s="2" t="s">
        <v>95</v>
      </c>
      <c r="D58" s="2" t="s">
        <v>192</v>
      </c>
      <c r="E58" s="2"/>
      <c r="F58" s="2">
        <v>2022</v>
      </c>
      <c r="G58" s="2">
        <v>2022</v>
      </c>
      <c r="H58" s="18"/>
    </row>
    <row r="59" spans="1:8" x14ac:dyDescent="0.25">
      <c r="A59" s="2" t="s">
        <v>96</v>
      </c>
      <c r="B59" s="2" t="s">
        <v>91</v>
      </c>
      <c r="C59" s="2" t="s">
        <v>95</v>
      </c>
      <c r="D59" s="2" t="s">
        <v>192</v>
      </c>
      <c r="E59" s="2"/>
      <c r="F59" s="2">
        <v>2022</v>
      </c>
      <c r="G59" s="2">
        <v>2022</v>
      </c>
      <c r="H59" s="18"/>
    </row>
    <row r="60" spans="1:8" x14ac:dyDescent="0.25">
      <c r="A60" s="2" t="s">
        <v>97</v>
      </c>
      <c r="B60" s="2" t="s">
        <v>91</v>
      </c>
      <c r="C60" s="2" t="s">
        <v>98</v>
      </c>
      <c r="D60" s="2" t="s">
        <v>193</v>
      </c>
      <c r="E60" s="2"/>
      <c r="F60" s="2">
        <v>1990</v>
      </c>
      <c r="G60" s="2">
        <v>1994</v>
      </c>
      <c r="H60" s="18"/>
    </row>
    <row r="61" spans="1:8" x14ac:dyDescent="0.25">
      <c r="A61" s="2" t="s">
        <v>99</v>
      </c>
      <c r="B61" s="2" t="s">
        <v>91</v>
      </c>
      <c r="C61" s="2" t="s">
        <v>100</v>
      </c>
      <c r="D61" s="2" t="s">
        <v>194</v>
      </c>
      <c r="E61" s="2"/>
      <c r="F61" s="2">
        <v>2021</v>
      </c>
      <c r="G61" s="2">
        <v>2021</v>
      </c>
      <c r="H61" s="18"/>
    </row>
    <row r="62" spans="1:8" x14ac:dyDescent="0.25">
      <c r="A62" s="2" t="s">
        <v>101</v>
      </c>
      <c r="B62" s="2" t="s">
        <v>91</v>
      </c>
      <c r="C62" s="2" t="s">
        <v>100</v>
      </c>
      <c r="D62" s="2" t="s">
        <v>194</v>
      </c>
      <c r="E62" s="2"/>
      <c r="F62" s="2">
        <v>2021</v>
      </c>
      <c r="G62" s="2">
        <v>2021</v>
      </c>
      <c r="H62" s="18"/>
    </row>
    <row r="63" spans="1:8" x14ac:dyDescent="0.25">
      <c r="A63" s="2" t="s">
        <v>102</v>
      </c>
      <c r="B63" s="2" t="s">
        <v>91</v>
      </c>
      <c r="C63" s="2" t="s">
        <v>103</v>
      </c>
      <c r="D63" s="2" t="s">
        <v>182</v>
      </c>
      <c r="E63" s="2"/>
      <c r="F63" s="2">
        <v>2005</v>
      </c>
      <c r="G63" s="2">
        <v>2015</v>
      </c>
      <c r="H63" s="18"/>
    </row>
    <row r="64" spans="1:8" x14ac:dyDescent="0.25">
      <c r="A64" s="2" t="s">
        <v>104</v>
      </c>
      <c r="B64" s="2" t="s">
        <v>91</v>
      </c>
      <c r="C64" s="2" t="s">
        <v>105</v>
      </c>
      <c r="D64" s="2" t="s">
        <v>195</v>
      </c>
      <c r="E64" s="2"/>
      <c r="F64" s="2">
        <v>2005</v>
      </c>
      <c r="G64" s="2">
        <v>2025</v>
      </c>
      <c r="H64" s="18"/>
    </row>
    <row r="65" spans="1:8" x14ac:dyDescent="0.25">
      <c r="A65" s="2" t="s">
        <v>106</v>
      </c>
      <c r="B65" s="2" t="s">
        <v>91</v>
      </c>
      <c r="C65" s="2" t="s">
        <v>107</v>
      </c>
      <c r="D65" s="2"/>
      <c r="E65" s="2"/>
      <c r="F65" s="2">
        <v>1996</v>
      </c>
      <c r="G65" s="2">
        <v>2002</v>
      </c>
      <c r="H65" s="18"/>
    </row>
    <row r="66" spans="1:8" x14ac:dyDescent="0.25">
      <c r="A66" s="2" t="s">
        <v>108</v>
      </c>
      <c r="B66" s="2" t="s">
        <v>109</v>
      </c>
      <c r="C66" s="2" t="s">
        <v>110</v>
      </c>
      <c r="D66" s="2" t="s">
        <v>193</v>
      </c>
      <c r="E66" s="2"/>
      <c r="F66" s="2">
        <v>2011</v>
      </c>
      <c r="G66" s="2">
        <v>2016</v>
      </c>
      <c r="H66" s="18"/>
    </row>
    <row r="67" spans="1:8" x14ac:dyDescent="0.25">
      <c r="A67" s="2" t="s">
        <v>111</v>
      </c>
      <c r="B67" s="2" t="s">
        <v>112</v>
      </c>
      <c r="C67" s="2" t="s">
        <v>113</v>
      </c>
      <c r="D67" s="2"/>
      <c r="E67" s="2"/>
      <c r="F67" s="2">
        <v>2016</v>
      </c>
      <c r="G67" s="2">
        <v>2025</v>
      </c>
      <c r="H67" s="18"/>
    </row>
  </sheetData>
  <conditionalFormatting sqref="A2:A67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Resumen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Osmar Pacheco Flores</dc:creator>
  <cp:lastModifiedBy>Osmar Pacheco Flores</cp:lastModifiedBy>
  <dcterms:created xsi:type="dcterms:W3CDTF">2026-10-06T20:06:42Z</dcterms:created>
  <dcterms:modified xsi:type="dcterms:W3CDTF">2026-10-12T21:43:17Z</dcterms:modified>
</cp:coreProperties>
</file>